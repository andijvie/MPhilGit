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q\Documents\sgool\NE6\game\"/>
    </mc:Choice>
  </mc:AlternateContent>
  <xr:revisionPtr revIDLastSave="0" documentId="13_ncr:1_{BBEA10E5-FA7E-479F-A1CB-0B57A3D1576E}" xr6:coauthVersionLast="47" xr6:coauthVersionMax="47" xr10:uidLastSave="{00000000-0000-0000-0000-000000000000}"/>
  <bookViews>
    <workbookView xWindow="910" yWindow="3540" windowWidth="11430" windowHeight="6770" xr2:uid="{FE1E9188-568C-443F-815B-A799E4F7F24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  <c r="H106" i="1"/>
  <c r="H80" i="1"/>
  <c r="H81" i="1"/>
  <c r="K72" i="1"/>
  <c r="H73" i="1"/>
  <c r="H77" i="1"/>
  <c r="H102" i="1"/>
  <c r="H101" i="1"/>
  <c r="H98" i="1"/>
  <c r="H97" i="1"/>
  <c r="H76" i="1"/>
  <c r="H72" i="1"/>
  <c r="H99" i="1" l="1"/>
  <c r="H103" i="1"/>
  <c r="H82" i="1"/>
  <c r="H107" i="1"/>
  <c r="H78" i="1"/>
  <c r="H74" i="1"/>
</calcChain>
</file>

<file path=xl/sharedStrings.xml><?xml version="1.0" encoding="utf-8"?>
<sst xmlns="http://schemas.openxmlformats.org/spreadsheetml/2006/main" count="242" uniqueCount="100">
  <si>
    <t>Access</t>
  </si>
  <si>
    <t>a13</t>
  </si>
  <si>
    <t>wind</t>
  </si>
  <si>
    <t>E4Ever</t>
  </si>
  <si>
    <t>e12</t>
  </si>
  <si>
    <t>e13</t>
  </si>
  <si>
    <t>solar</t>
  </si>
  <si>
    <t>Centrina</t>
  </si>
  <si>
    <t>c3-2</t>
  </si>
  <si>
    <t>cw3-4</t>
  </si>
  <si>
    <t>cw3-5</t>
  </si>
  <si>
    <t>cw3-6</t>
  </si>
  <si>
    <t>C3-1</t>
  </si>
  <si>
    <t>C3-3</t>
  </si>
  <si>
    <t>a12</t>
  </si>
  <si>
    <t>Du.On</t>
  </si>
  <si>
    <t>d15</t>
  </si>
  <si>
    <t>d16</t>
  </si>
  <si>
    <t>d17</t>
  </si>
  <si>
    <t>d18</t>
  </si>
  <si>
    <t>d19</t>
  </si>
  <si>
    <t>cw3-1</t>
  </si>
  <si>
    <t>cw3-2</t>
  </si>
  <si>
    <t>cw3-3</t>
  </si>
  <si>
    <t>a11</t>
  </si>
  <si>
    <t>naturalgasOCGT</t>
  </si>
  <si>
    <t>d13</t>
  </si>
  <si>
    <t>d14</t>
  </si>
  <si>
    <t>e11</t>
  </si>
  <si>
    <t>nuclear</t>
  </si>
  <si>
    <t>Beta</t>
  </si>
  <si>
    <t>N</t>
  </si>
  <si>
    <t>cw2-1</t>
  </si>
  <si>
    <t>cw2-2</t>
  </si>
  <si>
    <t>cw2-3</t>
  </si>
  <si>
    <t>d11</t>
  </si>
  <si>
    <t>d12</t>
  </si>
  <si>
    <t>cw1-1</t>
  </si>
  <si>
    <t>cw1-2</t>
  </si>
  <si>
    <t>cw1-3</t>
  </si>
  <si>
    <t>cw1-4</t>
  </si>
  <si>
    <t>cw1-5</t>
  </si>
  <si>
    <t>b10</t>
  </si>
  <si>
    <t>biomass</t>
  </si>
  <si>
    <t>e10</t>
  </si>
  <si>
    <t>a3</t>
  </si>
  <si>
    <t>b4</t>
  </si>
  <si>
    <t>c4</t>
  </si>
  <si>
    <t>d5</t>
  </si>
  <si>
    <t>e2</t>
  </si>
  <si>
    <t>powderCoal</t>
  </si>
  <si>
    <t>e3</t>
  </si>
  <si>
    <t>a10</t>
  </si>
  <si>
    <t>d9</t>
  </si>
  <si>
    <t>e4</t>
  </si>
  <si>
    <t>c9</t>
  </si>
  <si>
    <t>c2</t>
  </si>
  <si>
    <t>d4</t>
  </si>
  <si>
    <t>d10</t>
  </si>
  <si>
    <t>b6</t>
  </si>
  <si>
    <t>naturalgasCCGT</t>
  </si>
  <si>
    <t>c5</t>
  </si>
  <si>
    <t>a9</t>
  </si>
  <si>
    <t>c10</t>
  </si>
  <si>
    <t>d8</t>
  </si>
  <si>
    <t>a4</t>
  </si>
  <si>
    <t>a8</t>
  </si>
  <si>
    <t>b5</t>
  </si>
  <si>
    <t>b9</t>
  </si>
  <si>
    <t>d2</t>
  </si>
  <si>
    <t>b2</t>
  </si>
  <si>
    <t>d7</t>
  </si>
  <si>
    <t>a1</t>
  </si>
  <si>
    <t>b1</t>
  </si>
  <si>
    <t>c1</t>
  </si>
  <si>
    <t>d1</t>
  </si>
  <si>
    <t>e1</t>
  </si>
  <si>
    <t>b8</t>
  </si>
  <si>
    <t>c6</t>
  </si>
  <si>
    <t>b7</t>
  </si>
  <si>
    <t>d6</t>
  </si>
  <si>
    <t>d3</t>
  </si>
  <si>
    <t>cb1</t>
  </si>
  <si>
    <t>bio1</t>
  </si>
  <si>
    <t>Wind</t>
  </si>
  <si>
    <t>NatGas</t>
  </si>
  <si>
    <t>Coal</t>
  </si>
  <si>
    <t>Our loss</t>
  </si>
  <si>
    <t>DuOn</t>
  </si>
  <si>
    <t>duon</t>
  </si>
  <si>
    <t>d20</t>
  </si>
  <si>
    <t>cw4</t>
  </si>
  <si>
    <t>Rnd25</t>
  </si>
  <si>
    <t>Rnd27</t>
  </si>
  <si>
    <t>100 wind</t>
  </si>
  <si>
    <t>nuclear top</t>
  </si>
  <si>
    <t>RND28</t>
  </si>
  <si>
    <t>200 wind</t>
  </si>
  <si>
    <t>rnd29</t>
  </si>
  <si>
    <t>600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</si>
</sst>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1B5D-CF6B-4D92-BCC8-76719666B564}">
  <dimension ref="A1:M107"/>
  <sheetViews>
    <sheetView tabSelected="1" workbookViewId="0">
      <selection activeCell="L15" sqref="L15"/>
    </sheetView>
  </sheetViews>
  <sheetFormatPr defaultRowHeight="14.5" x14ac:dyDescent="0.35"/>
  <sheetData>
    <row r="1" spans="1:13" x14ac:dyDescent="0.35">
      <c r="A1" s="2" t="s">
        <v>7</v>
      </c>
      <c r="B1" s="2" t="s">
        <v>91</v>
      </c>
      <c r="C1" s="2" t="s">
        <v>2</v>
      </c>
      <c r="D1" s="3">
        <v>500</v>
      </c>
      <c r="E1" s="4">
        <v>19</v>
      </c>
      <c r="F1" s="2"/>
    </row>
    <row r="2" spans="1:13" x14ac:dyDescent="0.35">
      <c r="A2" s="5" t="s">
        <v>15</v>
      </c>
      <c r="B2" s="5" t="s">
        <v>90</v>
      </c>
      <c r="C2" s="5" t="s">
        <v>50</v>
      </c>
      <c r="D2" s="6">
        <v>1000</v>
      </c>
      <c r="E2" s="7">
        <v>18</v>
      </c>
      <c r="F2" s="5"/>
    </row>
    <row r="3" spans="1:13" x14ac:dyDescent="0.35">
      <c r="A3" s="2" t="s">
        <v>30</v>
      </c>
      <c r="B3" s="2" t="s">
        <v>83</v>
      </c>
      <c r="C3" s="2" t="s">
        <v>43</v>
      </c>
      <c r="D3" s="3">
        <v>1000</v>
      </c>
      <c r="E3" s="4">
        <v>17</v>
      </c>
      <c r="F3" s="2"/>
    </row>
    <row r="4" spans="1:13" x14ac:dyDescent="0.35">
      <c r="A4" s="5" t="s">
        <v>7</v>
      </c>
      <c r="B4" s="5" t="s">
        <v>82</v>
      </c>
      <c r="C4" s="5" t="s">
        <v>43</v>
      </c>
      <c r="D4" s="6">
        <v>500</v>
      </c>
      <c r="E4" s="7">
        <v>16</v>
      </c>
      <c r="F4" s="5"/>
    </row>
    <row r="5" spans="1:13" x14ac:dyDescent="0.35">
      <c r="A5" s="2" t="s">
        <v>0</v>
      </c>
      <c r="B5" s="2" t="s">
        <v>1</v>
      </c>
      <c r="C5" s="2" t="s">
        <v>2</v>
      </c>
      <c r="D5" s="3">
        <v>400</v>
      </c>
      <c r="E5" s="4">
        <v>15</v>
      </c>
      <c r="F5" s="2"/>
    </row>
    <row r="6" spans="1:13" x14ac:dyDescent="0.35">
      <c r="A6" s="5" t="s">
        <v>3</v>
      </c>
      <c r="B6" s="5" t="s">
        <v>4</v>
      </c>
      <c r="C6" s="5" t="s">
        <v>2</v>
      </c>
      <c r="D6" s="6">
        <v>300</v>
      </c>
      <c r="E6" s="7">
        <v>14</v>
      </c>
      <c r="F6" s="5"/>
    </row>
    <row r="7" spans="1:13" x14ac:dyDescent="0.35">
      <c r="A7" s="2" t="s">
        <v>3</v>
      </c>
      <c r="B7" s="2" t="s">
        <v>5</v>
      </c>
      <c r="C7" s="2" t="s">
        <v>6</v>
      </c>
      <c r="D7" s="3">
        <v>400</v>
      </c>
      <c r="E7" s="4">
        <v>14</v>
      </c>
      <c r="F7" s="2"/>
    </row>
    <row r="8" spans="1:13" x14ac:dyDescent="0.35">
      <c r="A8" s="5" t="s">
        <v>7</v>
      </c>
      <c r="B8" s="5" t="s">
        <v>8</v>
      </c>
      <c r="C8" s="5" t="s">
        <v>2</v>
      </c>
      <c r="D8" s="6">
        <v>500</v>
      </c>
      <c r="E8" s="7">
        <v>14</v>
      </c>
      <c r="F8" s="5"/>
    </row>
    <row r="9" spans="1:13" x14ac:dyDescent="0.35">
      <c r="A9" s="2" t="s">
        <v>7</v>
      </c>
      <c r="B9" s="2" t="s">
        <v>9</v>
      </c>
      <c r="C9" s="2" t="s">
        <v>2</v>
      </c>
      <c r="D9" s="3">
        <v>500</v>
      </c>
      <c r="E9" s="4">
        <v>14</v>
      </c>
      <c r="F9" s="2"/>
    </row>
    <row r="10" spans="1:13" x14ac:dyDescent="0.35">
      <c r="A10" s="5" t="s">
        <v>7</v>
      </c>
      <c r="B10" s="5" t="s">
        <v>10</v>
      </c>
      <c r="C10" s="5" t="s">
        <v>2</v>
      </c>
      <c r="D10" s="6">
        <v>500</v>
      </c>
      <c r="E10" s="7">
        <v>14</v>
      </c>
      <c r="F10" s="5"/>
    </row>
    <row r="11" spans="1:13" x14ac:dyDescent="0.35">
      <c r="A11" s="2" t="s">
        <v>7</v>
      </c>
      <c r="B11" s="2" t="s">
        <v>11</v>
      </c>
      <c r="C11" s="2" t="s">
        <v>2</v>
      </c>
      <c r="D11" s="3">
        <v>500</v>
      </c>
      <c r="E11" s="4">
        <v>14</v>
      </c>
      <c r="F11" s="2"/>
      <c r="K11" t="s">
        <v>92</v>
      </c>
    </row>
    <row r="12" spans="1:13" x14ac:dyDescent="0.35">
      <c r="A12" s="5" t="s">
        <v>7</v>
      </c>
      <c r="B12" s="5" t="s">
        <v>12</v>
      </c>
      <c r="C12" s="5" t="s">
        <v>2</v>
      </c>
      <c r="D12" s="6">
        <v>500</v>
      </c>
      <c r="E12" s="7">
        <v>14</v>
      </c>
      <c r="F12" s="5"/>
      <c r="K12" t="s">
        <v>93</v>
      </c>
      <c r="L12" t="s">
        <v>95</v>
      </c>
      <c r="M12" t="s">
        <v>94</v>
      </c>
    </row>
    <row r="13" spans="1:13" x14ac:dyDescent="0.35">
      <c r="A13" s="2" t="s">
        <v>7</v>
      </c>
      <c r="B13" s="2" t="s">
        <v>13</v>
      </c>
      <c r="C13" s="2" t="s">
        <v>2</v>
      </c>
      <c r="D13" s="3">
        <v>500</v>
      </c>
      <c r="E13" s="4">
        <v>14</v>
      </c>
      <c r="F13" s="2"/>
      <c r="K13" t="s">
        <v>96</v>
      </c>
      <c r="L13" t="s">
        <v>95</v>
      </c>
      <c r="M13" t="s">
        <v>97</v>
      </c>
    </row>
    <row r="14" spans="1:13" x14ac:dyDescent="0.35">
      <c r="A14" s="5" t="s">
        <v>0</v>
      </c>
      <c r="B14" s="5" t="s">
        <v>14</v>
      </c>
      <c r="C14" s="5" t="s">
        <v>2</v>
      </c>
      <c r="D14" s="6">
        <v>700</v>
      </c>
      <c r="E14" s="7">
        <v>14</v>
      </c>
      <c r="F14" s="5"/>
      <c r="K14" t="s">
        <v>98</v>
      </c>
      <c r="L14" t="s">
        <v>99</v>
      </c>
      <c r="M14" t="s">
        <v>97</v>
      </c>
    </row>
    <row r="15" spans="1:13" x14ac:dyDescent="0.35">
      <c r="A15" s="2" t="s">
        <v>15</v>
      </c>
      <c r="B15" s="2" t="s">
        <v>16</v>
      </c>
      <c r="C15" s="2" t="s">
        <v>2</v>
      </c>
      <c r="D15" s="3">
        <v>700</v>
      </c>
      <c r="E15" s="4">
        <v>13</v>
      </c>
      <c r="F15" s="2"/>
    </row>
    <row r="16" spans="1:13" x14ac:dyDescent="0.35">
      <c r="A16" s="5" t="s">
        <v>15</v>
      </c>
      <c r="B16" s="5" t="s">
        <v>17</v>
      </c>
      <c r="C16" s="5" t="s">
        <v>2</v>
      </c>
      <c r="D16" s="6">
        <v>700</v>
      </c>
      <c r="E16" s="7">
        <v>13</v>
      </c>
      <c r="F16" s="5"/>
    </row>
    <row r="17" spans="1:6" x14ac:dyDescent="0.35">
      <c r="A17" s="2" t="s">
        <v>15</v>
      </c>
      <c r="B17" s="2" t="s">
        <v>18</v>
      </c>
      <c r="C17" s="2" t="s">
        <v>2</v>
      </c>
      <c r="D17" s="3">
        <v>700</v>
      </c>
      <c r="E17" s="4">
        <v>13</v>
      </c>
      <c r="F17" s="2"/>
    </row>
    <row r="18" spans="1:6" x14ac:dyDescent="0.35">
      <c r="A18" s="5" t="s">
        <v>15</v>
      </c>
      <c r="B18" s="5" t="s">
        <v>19</v>
      </c>
      <c r="C18" s="5" t="s">
        <v>2</v>
      </c>
      <c r="D18" s="6">
        <v>700</v>
      </c>
      <c r="E18" s="7">
        <v>13</v>
      </c>
      <c r="F18" s="5"/>
    </row>
    <row r="19" spans="1:6" x14ac:dyDescent="0.35">
      <c r="A19" s="2" t="s">
        <v>15</v>
      </c>
      <c r="B19" s="2" t="s">
        <v>20</v>
      </c>
      <c r="C19" s="2" t="s">
        <v>2</v>
      </c>
      <c r="D19" s="3">
        <v>700</v>
      </c>
      <c r="E19" s="4">
        <v>13</v>
      </c>
      <c r="F19" s="2"/>
    </row>
    <row r="20" spans="1:6" x14ac:dyDescent="0.35">
      <c r="A20" s="5" t="s">
        <v>7</v>
      </c>
      <c r="B20" s="5" t="s">
        <v>21</v>
      </c>
      <c r="C20" s="5" t="s">
        <v>2</v>
      </c>
      <c r="D20" s="6">
        <v>300</v>
      </c>
      <c r="E20" s="7">
        <v>13</v>
      </c>
      <c r="F20" s="5"/>
    </row>
    <row r="21" spans="1:6" x14ac:dyDescent="0.35">
      <c r="A21" s="2" t="s">
        <v>7</v>
      </c>
      <c r="B21" s="2" t="s">
        <v>22</v>
      </c>
      <c r="C21" s="2" t="s">
        <v>2</v>
      </c>
      <c r="D21" s="3">
        <v>300</v>
      </c>
      <c r="E21" s="4">
        <v>13</v>
      </c>
      <c r="F21" s="2"/>
    </row>
    <row r="22" spans="1:6" x14ac:dyDescent="0.35">
      <c r="A22" s="5" t="s">
        <v>7</v>
      </c>
      <c r="B22" s="5" t="s">
        <v>23</v>
      </c>
      <c r="C22" s="5" t="s">
        <v>2</v>
      </c>
      <c r="D22" s="6">
        <v>300</v>
      </c>
      <c r="E22" s="7">
        <v>13</v>
      </c>
      <c r="F22" s="5"/>
    </row>
    <row r="23" spans="1:6" ht="16" x14ac:dyDescent="0.35">
      <c r="A23" s="2" t="s">
        <v>0</v>
      </c>
      <c r="B23" s="2" t="s">
        <v>24</v>
      </c>
      <c r="C23" s="2" t="s">
        <v>25</v>
      </c>
      <c r="D23" s="3">
        <v>500</v>
      </c>
      <c r="E23" s="4">
        <v>13</v>
      </c>
      <c r="F23" s="2"/>
    </row>
    <row r="24" spans="1:6" x14ac:dyDescent="0.35">
      <c r="A24" s="5" t="s">
        <v>15</v>
      </c>
      <c r="B24" s="5" t="s">
        <v>26</v>
      </c>
      <c r="C24" s="5" t="s">
        <v>2</v>
      </c>
      <c r="D24" s="6">
        <v>700</v>
      </c>
      <c r="E24" s="7">
        <v>12</v>
      </c>
      <c r="F24" s="5"/>
    </row>
    <row r="25" spans="1:6" x14ac:dyDescent="0.35">
      <c r="A25" s="2" t="s">
        <v>15</v>
      </c>
      <c r="B25" s="2" t="s">
        <v>27</v>
      </c>
      <c r="C25" s="2" t="s">
        <v>2</v>
      </c>
      <c r="D25" s="3">
        <v>700</v>
      </c>
      <c r="E25" s="4">
        <v>12</v>
      </c>
      <c r="F25" s="2"/>
    </row>
    <row r="26" spans="1:6" x14ac:dyDescent="0.35">
      <c r="A26" s="5" t="s">
        <v>3</v>
      </c>
      <c r="B26" s="5" t="s">
        <v>28</v>
      </c>
      <c r="C26" s="5" t="s">
        <v>29</v>
      </c>
      <c r="D26" s="6">
        <v>1000</v>
      </c>
      <c r="E26" s="7">
        <v>11</v>
      </c>
      <c r="F26" s="5"/>
    </row>
    <row r="27" spans="1:6" x14ac:dyDescent="0.35">
      <c r="A27" s="2" t="s">
        <v>30</v>
      </c>
      <c r="B27" s="2" t="s">
        <v>31</v>
      </c>
      <c r="C27" s="2" t="s">
        <v>29</v>
      </c>
      <c r="D27" s="3">
        <v>1000</v>
      </c>
      <c r="E27" s="4">
        <v>8</v>
      </c>
      <c r="F27" s="2"/>
    </row>
    <row r="28" spans="1:6" x14ac:dyDescent="0.35">
      <c r="A28" s="5" t="s">
        <v>7</v>
      </c>
      <c r="B28" s="5" t="s">
        <v>32</v>
      </c>
      <c r="C28" s="5" t="s">
        <v>2</v>
      </c>
      <c r="D28" s="6">
        <v>200</v>
      </c>
      <c r="E28" s="7">
        <v>8</v>
      </c>
      <c r="F28" s="5"/>
    </row>
    <row r="29" spans="1:6" x14ac:dyDescent="0.35">
      <c r="A29" s="2" t="s">
        <v>7</v>
      </c>
      <c r="B29" s="2" t="s">
        <v>33</v>
      </c>
      <c r="C29" s="2" t="s">
        <v>2</v>
      </c>
      <c r="D29" s="3">
        <v>200</v>
      </c>
      <c r="E29" s="4">
        <v>8</v>
      </c>
      <c r="F29" s="2"/>
    </row>
    <row r="30" spans="1:6" x14ac:dyDescent="0.35">
      <c r="A30" s="5" t="s">
        <v>7</v>
      </c>
      <c r="B30" s="5" t="s">
        <v>34</v>
      </c>
      <c r="C30" s="5" t="s">
        <v>2</v>
      </c>
      <c r="D30" s="6">
        <v>200</v>
      </c>
      <c r="E30" s="7">
        <v>8</v>
      </c>
      <c r="F30" s="5"/>
    </row>
    <row r="31" spans="1:6" x14ac:dyDescent="0.35">
      <c r="A31" s="2" t="s">
        <v>15</v>
      </c>
      <c r="B31" s="2" t="s">
        <v>35</v>
      </c>
      <c r="C31" s="2" t="s">
        <v>2</v>
      </c>
      <c r="D31" s="3">
        <v>700</v>
      </c>
      <c r="E31" s="4">
        <v>4</v>
      </c>
      <c r="F31" s="2"/>
    </row>
    <row r="32" spans="1:6" x14ac:dyDescent="0.35">
      <c r="A32" s="5" t="s">
        <v>15</v>
      </c>
      <c r="B32" s="5" t="s">
        <v>36</v>
      </c>
      <c r="C32" s="5" t="s">
        <v>2</v>
      </c>
      <c r="D32" s="6">
        <v>700</v>
      </c>
      <c r="E32" s="7">
        <v>4</v>
      </c>
      <c r="F32" s="5"/>
    </row>
    <row r="33" spans="1:6" x14ac:dyDescent="0.35">
      <c r="A33" s="2" t="s">
        <v>7</v>
      </c>
      <c r="B33" s="2" t="s">
        <v>37</v>
      </c>
      <c r="C33" s="2" t="s">
        <v>2</v>
      </c>
      <c r="D33" s="3">
        <v>100</v>
      </c>
      <c r="E33" s="4">
        <v>3</v>
      </c>
      <c r="F33" s="2"/>
    </row>
    <row r="34" spans="1:6" x14ac:dyDescent="0.35">
      <c r="A34" s="5" t="s">
        <v>7</v>
      </c>
      <c r="B34" s="5" t="s">
        <v>38</v>
      </c>
      <c r="C34" s="5" t="s">
        <v>2</v>
      </c>
      <c r="D34" s="6">
        <v>100</v>
      </c>
      <c r="E34" s="7">
        <v>3</v>
      </c>
      <c r="F34" s="5"/>
    </row>
    <row r="35" spans="1:6" x14ac:dyDescent="0.35">
      <c r="A35" s="2" t="s">
        <v>7</v>
      </c>
      <c r="B35" s="2" t="s">
        <v>39</v>
      </c>
      <c r="C35" s="2" t="s">
        <v>2</v>
      </c>
      <c r="D35" s="3">
        <v>100</v>
      </c>
      <c r="E35" s="4">
        <v>3</v>
      </c>
      <c r="F35" s="2"/>
    </row>
    <row r="36" spans="1:6" x14ac:dyDescent="0.35">
      <c r="A36" s="5" t="s">
        <v>7</v>
      </c>
      <c r="B36" s="5" t="s">
        <v>40</v>
      </c>
      <c r="C36" s="5" t="s">
        <v>2</v>
      </c>
      <c r="D36" s="6">
        <v>100</v>
      </c>
      <c r="E36" s="7">
        <v>3</v>
      </c>
      <c r="F36" s="5"/>
    </row>
    <row r="37" spans="1:6" x14ac:dyDescent="0.35">
      <c r="A37" s="2" t="s">
        <v>7</v>
      </c>
      <c r="B37" s="2" t="s">
        <v>41</v>
      </c>
      <c r="C37" s="2" t="s">
        <v>2</v>
      </c>
      <c r="D37" s="3">
        <v>100</v>
      </c>
      <c r="E37" s="4">
        <v>3</v>
      </c>
      <c r="F37" s="2"/>
    </row>
    <row r="38" spans="1:6" x14ac:dyDescent="0.35">
      <c r="A38" s="5" t="s">
        <v>30</v>
      </c>
      <c r="B38" s="5" t="s">
        <v>42</v>
      </c>
      <c r="C38" s="5" t="s">
        <v>43</v>
      </c>
      <c r="D38" s="6">
        <v>70</v>
      </c>
      <c r="E38" s="7">
        <v>2</v>
      </c>
      <c r="F38" s="5"/>
    </row>
    <row r="39" spans="1:6" x14ac:dyDescent="0.35">
      <c r="A39" s="2" t="s">
        <v>3</v>
      </c>
      <c r="B39" s="2" t="s">
        <v>44</v>
      </c>
      <c r="C39" s="2" t="s">
        <v>43</v>
      </c>
      <c r="D39" s="3">
        <v>90</v>
      </c>
      <c r="E39" s="4">
        <v>2</v>
      </c>
      <c r="F39" s="2"/>
    </row>
    <row r="40" spans="1:6" x14ac:dyDescent="0.35">
      <c r="A40" s="5" t="s">
        <v>0</v>
      </c>
      <c r="B40" s="5" t="s">
        <v>45</v>
      </c>
      <c r="C40" s="5" t="s">
        <v>2</v>
      </c>
      <c r="D40" s="6">
        <v>250</v>
      </c>
      <c r="E40" s="7">
        <v>0</v>
      </c>
      <c r="F40" s="5"/>
    </row>
    <row r="41" spans="1:6" x14ac:dyDescent="0.35">
      <c r="A41" s="2" t="s">
        <v>30</v>
      </c>
      <c r="B41" s="2" t="s">
        <v>46</v>
      </c>
      <c r="C41" s="2" t="s">
        <v>2</v>
      </c>
      <c r="D41" s="3">
        <v>200</v>
      </c>
      <c r="E41" s="4">
        <v>0</v>
      </c>
      <c r="F41" s="2"/>
    </row>
    <row r="42" spans="1:6" x14ac:dyDescent="0.35">
      <c r="A42" s="5" t="s">
        <v>7</v>
      </c>
      <c r="B42" s="5" t="s">
        <v>47</v>
      </c>
      <c r="C42" s="5" t="s">
        <v>2</v>
      </c>
      <c r="D42" s="6">
        <v>150</v>
      </c>
      <c r="E42" s="7">
        <v>0</v>
      </c>
      <c r="F42" s="5"/>
    </row>
    <row r="43" spans="1:6" x14ac:dyDescent="0.35">
      <c r="A43" s="2" t="s">
        <v>15</v>
      </c>
      <c r="B43" s="2" t="s">
        <v>48</v>
      </c>
      <c r="C43" s="2" t="s">
        <v>2</v>
      </c>
      <c r="D43" s="3">
        <v>50</v>
      </c>
      <c r="E43" s="4">
        <v>0</v>
      </c>
      <c r="F43" s="2"/>
    </row>
    <row r="44" spans="1:6" x14ac:dyDescent="0.35">
      <c r="A44" s="5" t="s">
        <v>3</v>
      </c>
      <c r="B44" s="5" t="s">
        <v>49</v>
      </c>
      <c r="C44" s="5" t="s">
        <v>50</v>
      </c>
      <c r="D44" s="6">
        <v>700</v>
      </c>
      <c r="E44" s="7">
        <v>0</v>
      </c>
      <c r="F44" s="5"/>
    </row>
    <row r="45" spans="1:6" x14ac:dyDescent="0.35">
      <c r="A45" s="2" t="s">
        <v>3</v>
      </c>
      <c r="B45" s="2" t="s">
        <v>51</v>
      </c>
      <c r="C45" s="2" t="s">
        <v>2</v>
      </c>
      <c r="D45" s="3">
        <v>50</v>
      </c>
      <c r="E45" s="4">
        <v>0</v>
      </c>
      <c r="F45" s="2"/>
    </row>
    <row r="46" spans="1:6" x14ac:dyDescent="0.35">
      <c r="A46" s="5" t="s">
        <v>0</v>
      </c>
      <c r="B46" s="5" t="s">
        <v>52</v>
      </c>
      <c r="C46" s="5" t="s">
        <v>43</v>
      </c>
      <c r="D46" s="6">
        <v>100</v>
      </c>
      <c r="E46" s="7">
        <v>-1</v>
      </c>
      <c r="F46" s="5"/>
    </row>
    <row r="47" spans="1:6" x14ac:dyDescent="0.35">
      <c r="A47" s="2" t="s">
        <v>15</v>
      </c>
      <c r="B47" s="2" t="s">
        <v>53</v>
      </c>
      <c r="C47" s="2" t="s">
        <v>6</v>
      </c>
      <c r="D47" s="3">
        <v>20</v>
      </c>
      <c r="E47" s="4">
        <v>-1</v>
      </c>
      <c r="F47" s="2"/>
    </row>
    <row r="48" spans="1:6" x14ac:dyDescent="0.35">
      <c r="A48" s="5" t="s">
        <v>3</v>
      </c>
      <c r="B48" s="5" t="s">
        <v>54</v>
      </c>
      <c r="C48" s="5" t="s">
        <v>2</v>
      </c>
      <c r="D48" s="6">
        <v>150</v>
      </c>
      <c r="E48" s="7">
        <v>-1</v>
      </c>
      <c r="F48" s="5"/>
    </row>
    <row r="49" spans="1:6" x14ac:dyDescent="0.35">
      <c r="A49" s="2" t="s">
        <v>7</v>
      </c>
      <c r="B49" s="2" t="s">
        <v>55</v>
      </c>
      <c r="C49" s="2" t="s">
        <v>6</v>
      </c>
      <c r="D49" s="3">
        <v>20</v>
      </c>
      <c r="E49" s="4">
        <v>-2</v>
      </c>
      <c r="F49" s="2"/>
    </row>
    <row r="50" spans="1:6" x14ac:dyDescent="0.35">
      <c r="A50" s="5" t="s">
        <v>7</v>
      </c>
      <c r="B50" s="5" t="s">
        <v>56</v>
      </c>
      <c r="C50" s="5" t="s">
        <v>50</v>
      </c>
      <c r="D50" s="6">
        <v>600</v>
      </c>
      <c r="E50" s="7">
        <v>-3</v>
      </c>
      <c r="F50" s="5"/>
    </row>
    <row r="51" spans="1:6" x14ac:dyDescent="0.35">
      <c r="A51" s="2" t="s">
        <v>15</v>
      </c>
      <c r="B51" s="2" t="s">
        <v>57</v>
      </c>
      <c r="C51" s="2" t="s">
        <v>2</v>
      </c>
      <c r="D51" s="3">
        <v>50</v>
      </c>
      <c r="E51" s="4">
        <v>-3</v>
      </c>
      <c r="F51" s="2"/>
    </row>
    <row r="52" spans="1:6" x14ac:dyDescent="0.35">
      <c r="A52" s="5" t="s">
        <v>15</v>
      </c>
      <c r="B52" s="5" t="s">
        <v>58</v>
      </c>
      <c r="C52" s="5" t="s">
        <v>43</v>
      </c>
      <c r="D52" s="6">
        <v>100</v>
      </c>
      <c r="E52" s="7">
        <v>-3</v>
      </c>
      <c r="F52" s="5"/>
    </row>
    <row r="53" spans="1:6" ht="16" x14ac:dyDescent="0.35">
      <c r="A53" s="2" t="s">
        <v>30</v>
      </c>
      <c r="B53" s="2" t="s">
        <v>59</v>
      </c>
      <c r="C53" s="2" t="s">
        <v>60</v>
      </c>
      <c r="D53" s="3">
        <v>500</v>
      </c>
      <c r="E53" s="4">
        <v>-4</v>
      </c>
      <c r="F53" s="2"/>
    </row>
    <row r="54" spans="1:6" x14ac:dyDescent="0.35">
      <c r="A54" s="5" t="s">
        <v>7</v>
      </c>
      <c r="B54" s="5" t="s">
        <v>61</v>
      </c>
      <c r="C54" s="5" t="s">
        <v>2</v>
      </c>
      <c r="D54" s="6">
        <v>100</v>
      </c>
      <c r="E54" s="7">
        <v>-4</v>
      </c>
      <c r="F54" s="5"/>
    </row>
    <row r="55" spans="1:6" x14ac:dyDescent="0.35">
      <c r="A55" s="2" t="s">
        <v>0</v>
      </c>
      <c r="B55" s="2" t="s">
        <v>62</v>
      </c>
      <c r="C55" s="2" t="s">
        <v>6</v>
      </c>
      <c r="D55" s="3">
        <v>20</v>
      </c>
      <c r="E55" s="4">
        <v>-5</v>
      </c>
      <c r="F55" s="2"/>
    </row>
    <row r="56" spans="1:6" x14ac:dyDescent="0.35">
      <c r="A56" s="5" t="s">
        <v>7</v>
      </c>
      <c r="B56" s="5" t="s">
        <v>63</v>
      </c>
      <c r="C56" s="5" t="s">
        <v>43</v>
      </c>
      <c r="D56" s="6">
        <v>120</v>
      </c>
      <c r="E56" s="7">
        <v>-5</v>
      </c>
      <c r="F56" s="5"/>
    </row>
    <row r="57" spans="1:6" ht="16" x14ac:dyDescent="0.35">
      <c r="A57" s="2" t="s">
        <v>15</v>
      </c>
      <c r="B57" s="2" t="s">
        <v>64</v>
      </c>
      <c r="C57" s="2" t="s">
        <v>25</v>
      </c>
      <c r="D57" s="3">
        <v>50</v>
      </c>
      <c r="E57" s="4">
        <v>-5</v>
      </c>
      <c r="F57" s="2"/>
    </row>
    <row r="58" spans="1:6" x14ac:dyDescent="0.35">
      <c r="A58" s="5" t="s">
        <v>0</v>
      </c>
      <c r="B58" s="5" t="s">
        <v>65</v>
      </c>
      <c r="C58" s="5" t="s">
        <v>2</v>
      </c>
      <c r="D58" s="6">
        <v>50</v>
      </c>
      <c r="E58" s="7">
        <v>-6</v>
      </c>
      <c r="F58" s="5"/>
    </row>
    <row r="59" spans="1:6" ht="16" x14ac:dyDescent="0.35">
      <c r="A59" s="2" t="s">
        <v>0</v>
      </c>
      <c r="B59" s="2" t="s">
        <v>66</v>
      </c>
      <c r="C59" s="2" t="s">
        <v>25</v>
      </c>
      <c r="D59" s="3">
        <v>50</v>
      </c>
      <c r="E59" s="4">
        <v>-6</v>
      </c>
      <c r="F59" s="2"/>
    </row>
    <row r="60" spans="1:6" x14ac:dyDescent="0.35">
      <c r="A60" s="5" t="s">
        <v>30</v>
      </c>
      <c r="B60" s="5" t="s">
        <v>67</v>
      </c>
      <c r="C60" s="5" t="s">
        <v>2</v>
      </c>
      <c r="D60" s="6">
        <v>15</v>
      </c>
      <c r="E60" s="7">
        <v>-6</v>
      </c>
      <c r="F60" s="5"/>
    </row>
    <row r="61" spans="1:6" x14ac:dyDescent="0.35">
      <c r="A61" s="2" t="s">
        <v>30</v>
      </c>
      <c r="B61" s="2" t="s">
        <v>68</v>
      </c>
      <c r="C61" s="2" t="s">
        <v>6</v>
      </c>
      <c r="D61" s="3">
        <v>20</v>
      </c>
      <c r="E61" s="4">
        <v>-6</v>
      </c>
      <c r="F61" s="2"/>
    </row>
    <row r="62" spans="1:6" x14ac:dyDescent="0.35">
      <c r="A62" s="5" t="s">
        <v>15</v>
      </c>
      <c r="B62" s="5" t="s">
        <v>69</v>
      </c>
      <c r="C62" s="5" t="s">
        <v>50</v>
      </c>
      <c r="D62" s="6">
        <v>600</v>
      </c>
      <c r="E62" s="7">
        <v>-6</v>
      </c>
      <c r="F62" s="5"/>
    </row>
    <row r="63" spans="1:6" x14ac:dyDescent="0.35">
      <c r="A63" s="2" t="s">
        <v>30</v>
      </c>
      <c r="B63" s="2" t="s">
        <v>70</v>
      </c>
      <c r="C63" s="2" t="s">
        <v>50</v>
      </c>
      <c r="D63" s="3">
        <v>600</v>
      </c>
      <c r="E63" s="4">
        <v>-8</v>
      </c>
      <c r="F63" s="2"/>
    </row>
    <row r="64" spans="1:6" ht="16" x14ac:dyDescent="0.35">
      <c r="A64" s="5" t="s">
        <v>15</v>
      </c>
      <c r="B64" s="5" t="s">
        <v>71</v>
      </c>
      <c r="C64" s="5" t="s">
        <v>25</v>
      </c>
      <c r="D64" s="6">
        <v>50</v>
      </c>
      <c r="E64" s="7">
        <v>-8</v>
      </c>
      <c r="F64" s="5"/>
    </row>
    <row r="65" spans="1:13" x14ac:dyDescent="0.35">
      <c r="A65" s="2" t="s">
        <v>0</v>
      </c>
      <c r="B65" s="2" t="s">
        <v>72</v>
      </c>
      <c r="C65" s="2" t="s">
        <v>29</v>
      </c>
      <c r="D65" s="3">
        <v>800</v>
      </c>
      <c r="E65" s="4">
        <v>-9</v>
      </c>
      <c r="F65" s="2"/>
    </row>
    <row r="66" spans="1:13" x14ac:dyDescent="0.35">
      <c r="A66" s="5" t="s">
        <v>30</v>
      </c>
      <c r="B66" s="5" t="s">
        <v>73</v>
      </c>
      <c r="C66" s="5" t="s">
        <v>29</v>
      </c>
      <c r="D66" s="6">
        <v>800</v>
      </c>
      <c r="E66" s="7">
        <v>-9</v>
      </c>
      <c r="F66" s="5"/>
    </row>
    <row r="67" spans="1:13" x14ac:dyDescent="0.35">
      <c r="A67" s="2" t="s">
        <v>7</v>
      </c>
      <c r="B67" s="2" t="s">
        <v>74</v>
      </c>
      <c r="C67" s="2" t="s">
        <v>29</v>
      </c>
      <c r="D67" s="3">
        <v>800</v>
      </c>
      <c r="E67" s="4">
        <v>-9</v>
      </c>
      <c r="F67" s="2"/>
    </row>
    <row r="68" spans="1:13" x14ac:dyDescent="0.35">
      <c r="A68" s="5" t="s">
        <v>15</v>
      </c>
      <c r="B68" s="5" t="s">
        <v>75</v>
      </c>
      <c r="C68" s="5" t="s">
        <v>29</v>
      </c>
      <c r="D68" s="6">
        <v>800</v>
      </c>
      <c r="E68" s="7">
        <v>-9</v>
      </c>
      <c r="F68" s="5"/>
    </row>
    <row r="69" spans="1:13" x14ac:dyDescent="0.35">
      <c r="A69" s="2" t="s">
        <v>3</v>
      </c>
      <c r="B69" s="2" t="s">
        <v>76</v>
      </c>
      <c r="C69" s="2" t="s">
        <v>29</v>
      </c>
      <c r="D69" s="3">
        <v>800</v>
      </c>
      <c r="E69" s="4">
        <v>-9</v>
      </c>
      <c r="F69" s="2"/>
    </row>
    <row r="70" spans="1:13" ht="16" x14ac:dyDescent="0.35">
      <c r="A70" s="5" t="s">
        <v>30</v>
      </c>
      <c r="B70" s="5" t="s">
        <v>77</v>
      </c>
      <c r="C70" s="5" t="s">
        <v>25</v>
      </c>
      <c r="D70" s="6">
        <v>35</v>
      </c>
      <c r="E70" s="7">
        <v>-10</v>
      </c>
      <c r="F70" s="5"/>
    </row>
    <row r="71" spans="1:13" ht="16" x14ac:dyDescent="0.35">
      <c r="A71" s="2" t="s">
        <v>7</v>
      </c>
      <c r="B71" s="2" t="s">
        <v>78</v>
      </c>
      <c r="C71" s="2" t="s">
        <v>60</v>
      </c>
      <c r="D71" s="3">
        <v>350</v>
      </c>
      <c r="E71" s="4">
        <v>-10</v>
      </c>
      <c r="F71" s="2"/>
      <c r="H71" t="s">
        <v>86</v>
      </c>
      <c r="K71" t="s">
        <v>87</v>
      </c>
      <c r="L71" t="s">
        <v>88</v>
      </c>
      <c r="M71" t="s">
        <v>30</v>
      </c>
    </row>
    <row r="72" spans="1:13" ht="16" x14ac:dyDescent="0.35">
      <c r="A72" s="5" t="s">
        <v>30</v>
      </c>
      <c r="B72" s="5" t="s">
        <v>79</v>
      </c>
      <c r="C72" s="5" t="s">
        <v>25</v>
      </c>
      <c r="D72" s="6">
        <v>50</v>
      </c>
      <c r="E72" s="7">
        <v>-11</v>
      </c>
      <c r="F72" s="5"/>
      <c r="H72">
        <f>SUMIFS(D:D,A:A,"Centrina",C:C,"powderCoal")</f>
        <v>600</v>
      </c>
      <c r="K72">
        <f>965.2 - 97.5</f>
        <v>867.7</v>
      </c>
      <c r="L72">
        <v>1004.85</v>
      </c>
      <c r="M72">
        <v>945.17</v>
      </c>
    </row>
    <row r="73" spans="1:13" ht="16" x14ac:dyDescent="0.35">
      <c r="A73" s="2" t="s">
        <v>15</v>
      </c>
      <c r="B73" s="2" t="s">
        <v>80</v>
      </c>
      <c r="C73" s="2" t="s">
        <v>60</v>
      </c>
      <c r="D73" s="3">
        <v>500</v>
      </c>
      <c r="E73" s="4">
        <v>-11</v>
      </c>
      <c r="F73" s="2"/>
      <c r="H73">
        <f>SUMIFS(D:D,A:A,"Beta",C:C,"powderCoal")</f>
        <v>600</v>
      </c>
    </row>
    <row r="74" spans="1:13" ht="15" thickBot="1" x14ac:dyDescent="0.4">
      <c r="A74" s="11" t="s">
        <v>15</v>
      </c>
      <c r="B74" s="11" t="s">
        <v>81</v>
      </c>
      <c r="C74" s="11" t="s">
        <v>50</v>
      </c>
      <c r="D74" s="12">
        <v>600</v>
      </c>
      <c r="E74" s="13">
        <v>-14</v>
      </c>
      <c r="F74" s="1"/>
      <c r="H74">
        <f>H73-H72</f>
        <v>0</v>
      </c>
    </row>
    <row r="75" spans="1:13" ht="15" thickBot="1" x14ac:dyDescent="0.4">
      <c r="A75" s="8"/>
      <c r="B75" s="8"/>
      <c r="C75" s="8"/>
      <c r="D75" s="9"/>
      <c r="E75" s="10"/>
      <c r="H75" t="s">
        <v>85</v>
      </c>
    </row>
    <row r="76" spans="1:13" x14ac:dyDescent="0.35">
      <c r="H76">
        <f>SUMIFS(D:D,A:A,"Centrina",C:C,"naturalgasCCGT")</f>
        <v>350</v>
      </c>
    </row>
    <row r="77" spans="1:13" x14ac:dyDescent="0.35">
      <c r="H77">
        <f>SUMIFS(D:D,A:A,"Beta",C:C,"naturalgasCCGT")</f>
        <v>500</v>
      </c>
    </row>
    <row r="78" spans="1:13" x14ac:dyDescent="0.35">
      <c r="H78">
        <f>H77-H76</f>
        <v>150</v>
      </c>
    </row>
    <row r="79" spans="1:13" x14ac:dyDescent="0.35">
      <c r="H79" t="s">
        <v>84</v>
      </c>
    </row>
    <row r="80" spans="1:13" x14ac:dyDescent="0.35">
      <c r="H80">
        <f>SUMIFS(D:D,A:A,"Centrina",C:C,"Wind")</f>
        <v>5750</v>
      </c>
    </row>
    <row r="81" spans="8:8" x14ac:dyDescent="0.35">
      <c r="H81">
        <f>SUMIFS(D:D,A:A,"Beta",C:C,"Wind")</f>
        <v>215</v>
      </c>
    </row>
    <row r="82" spans="8:8" x14ac:dyDescent="0.35">
      <c r="H82">
        <f>H81-H80</f>
        <v>-5535</v>
      </c>
    </row>
    <row r="95" spans="8:8" x14ac:dyDescent="0.35">
      <c r="H95" t="s">
        <v>89</v>
      </c>
    </row>
    <row r="96" spans="8:8" x14ac:dyDescent="0.35">
      <c r="H96" t="s">
        <v>86</v>
      </c>
    </row>
    <row r="97" spans="8:8" x14ac:dyDescent="0.35">
      <c r="H97">
        <f>SUMIFS(D:D,A:A,"Centrina",C:C,"powderCoal")</f>
        <v>600</v>
      </c>
    </row>
    <row r="98" spans="8:8" x14ac:dyDescent="0.35">
      <c r="H98">
        <f>SUMIFS(D:D,A:A,"Du.On",C:C,"powderCoal")</f>
        <v>2200</v>
      </c>
    </row>
    <row r="99" spans="8:8" x14ac:dyDescent="0.35">
      <c r="H99">
        <f>H98-H97</f>
        <v>1600</v>
      </c>
    </row>
    <row r="100" spans="8:8" x14ac:dyDescent="0.35">
      <c r="H100" t="s">
        <v>85</v>
      </c>
    </row>
    <row r="101" spans="8:8" x14ac:dyDescent="0.35">
      <c r="H101">
        <f>SUMIFS(D:D,A:A,"Centrina",C:C,"naturalgasCCGT")</f>
        <v>350</v>
      </c>
    </row>
    <row r="102" spans="8:8" x14ac:dyDescent="0.35">
      <c r="H102">
        <f>SUMIFS(D:D,A:A,"Du.On",C:C,"naturalgasCCGT")</f>
        <v>500</v>
      </c>
    </row>
    <row r="103" spans="8:8" x14ac:dyDescent="0.35">
      <c r="H103">
        <f>H102-H101</f>
        <v>150</v>
      </c>
    </row>
    <row r="104" spans="8:8" x14ac:dyDescent="0.35">
      <c r="H104" t="s">
        <v>84</v>
      </c>
    </row>
    <row r="105" spans="8:8" x14ac:dyDescent="0.35">
      <c r="H105">
        <f>SUMIFS(D:D,A:A,"Centrina",C:C,"Wind")*0.68</f>
        <v>3910.0000000000005</v>
      </c>
    </row>
    <row r="106" spans="8:8" x14ac:dyDescent="0.35">
      <c r="H106">
        <f>SUMIFS(D:D,A:A,"Du.On",C:C,"Wind")*0.7</f>
        <v>4480</v>
      </c>
    </row>
    <row r="107" spans="8:8" x14ac:dyDescent="0.35">
      <c r="H107">
        <f>H106-H105</f>
        <v>569.99999999999955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A.Q. Zhang</dc:creator>
  <cp:lastModifiedBy>A.Q. Zhang</cp:lastModifiedBy>
  <dcterms:created xsi:type="dcterms:W3CDTF">2026-01-28T15:20:57Z</dcterms:created>
  <dcterms:modified xsi:type="dcterms:W3CDTF">2026-02-12T13:15:17Z</dcterms:modified>
</cp:coreProperties>
</file>