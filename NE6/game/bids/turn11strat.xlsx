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MPhilGit\NE6\game\bids\"/>
    </mc:Choice>
  </mc:AlternateContent>
  <xr:revisionPtr revIDLastSave="0" documentId="13_ncr:1_{1D0D1C28-1149-453B-97FF-2378A76D3323}" xr6:coauthVersionLast="47" xr6:coauthVersionMax="47" xr10:uidLastSave="{00000000-0000-0000-0000-000000000000}"/>
  <bookViews>
    <workbookView xWindow="28680" yWindow="-120" windowWidth="29040" windowHeight="15720" xr2:uid="{27F68D0F-8EB7-4EE2-A6B1-D11A37F41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7" i="1" l="1"/>
  <c r="V46" i="1"/>
  <c r="S47" i="1"/>
  <c r="S46" i="1"/>
  <c r="H61" i="1"/>
  <c r="L59" i="1"/>
  <c r="I60" i="1"/>
  <c r="I61" i="1" s="1"/>
  <c r="J65" i="1"/>
  <c r="J64" i="1"/>
  <c r="H60" i="1"/>
  <c r="H8" i="1"/>
  <c r="J8" i="1" s="1"/>
  <c r="H5" i="1"/>
  <c r="G8" i="1"/>
  <c r="G5" i="1"/>
  <c r="G2" i="1"/>
  <c r="I2" i="1"/>
  <c r="I3" i="1" s="1"/>
  <c r="H2" i="1"/>
  <c r="H3" i="1" s="1"/>
  <c r="K64" i="1" l="1"/>
  <c r="K65" i="1"/>
  <c r="K3" i="1"/>
</calcChain>
</file>

<file path=xl/sharedStrings.xml><?xml version="1.0" encoding="utf-8"?>
<sst xmlns="http://schemas.openxmlformats.org/spreadsheetml/2006/main" count="211" uniqueCount="94">
  <si>
    <t>E4Ever</t>
  </si>
  <si>
    <t>e11</t>
  </si>
  <si>
    <t>nuclear</t>
  </si>
  <si>
    <t>Beta</t>
  </si>
  <si>
    <t>N</t>
  </si>
  <si>
    <t>Centrina</t>
  </si>
  <si>
    <t>cw2-1</t>
  </si>
  <si>
    <t>wind</t>
  </si>
  <si>
    <t>cw2-2</t>
  </si>
  <si>
    <t>cw2-3</t>
  </si>
  <si>
    <t>Du.On</t>
  </si>
  <si>
    <t>d11</t>
  </si>
  <si>
    <t>d12</t>
  </si>
  <si>
    <t>cw1-1</t>
  </si>
  <si>
    <t>cw1-2</t>
  </si>
  <si>
    <t>cw1-3</t>
  </si>
  <si>
    <t>cw1-4</t>
  </si>
  <si>
    <t>cw1-5</t>
  </si>
  <si>
    <t>b10</t>
  </si>
  <si>
    <t>biomass</t>
  </si>
  <si>
    <t>e10</t>
  </si>
  <si>
    <t>Access</t>
  </si>
  <si>
    <t>a3</t>
  </si>
  <si>
    <t>b4</t>
  </si>
  <si>
    <t>c4</t>
  </si>
  <si>
    <t>d5</t>
  </si>
  <si>
    <t>e2</t>
  </si>
  <si>
    <t>powderCoal</t>
  </si>
  <si>
    <t>e3</t>
  </si>
  <si>
    <t>a10</t>
  </si>
  <si>
    <t>d9</t>
  </si>
  <si>
    <t>solar</t>
  </si>
  <si>
    <t>e4</t>
  </si>
  <si>
    <t>c9</t>
  </si>
  <si>
    <t>c2</t>
  </si>
  <si>
    <t>d4</t>
  </si>
  <si>
    <t>d10</t>
  </si>
  <si>
    <t>e9</t>
  </si>
  <si>
    <t>b6</t>
  </si>
  <si>
    <t>naturalgasCCGT</t>
  </si>
  <si>
    <t>c5</t>
  </si>
  <si>
    <t>a9</t>
  </si>
  <si>
    <t>c10</t>
  </si>
  <si>
    <t>d8</t>
  </si>
  <si>
    <t>naturalgasOCGT</t>
  </si>
  <si>
    <t>a4</t>
  </si>
  <si>
    <t>a8</t>
  </si>
  <si>
    <t>b5</t>
  </si>
  <si>
    <t>b9</t>
  </si>
  <si>
    <t>d2</t>
  </si>
  <si>
    <t>b2</t>
  </si>
  <si>
    <t>d7</t>
  </si>
  <si>
    <t>a1</t>
  </si>
  <si>
    <t>b1</t>
  </si>
  <si>
    <t>c1</t>
  </si>
  <si>
    <t>d1</t>
  </si>
  <si>
    <t>e1</t>
  </si>
  <si>
    <t>b8</t>
  </si>
  <si>
    <t>c6</t>
  </si>
  <si>
    <t>b7</t>
  </si>
  <si>
    <t>d6</t>
  </si>
  <si>
    <t>a5</t>
  </si>
  <si>
    <t>d3</t>
  </si>
  <si>
    <t>a6</t>
  </si>
  <si>
    <t>cb1</t>
  </si>
  <si>
    <t>d15</t>
  </si>
  <si>
    <t>d16</t>
  </si>
  <si>
    <t>d17</t>
  </si>
  <si>
    <t>d18</t>
  </si>
  <si>
    <t>d19</t>
  </si>
  <si>
    <t>cw3-1</t>
  </si>
  <si>
    <t>cw3-2</t>
  </si>
  <si>
    <t>cw3-3</t>
  </si>
  <si>
    <t>a11</t>
  </si>
  <si>
    <t>d13</t>
  </si>
  <si>
    <t>d14</t>
  </si>
  <si>
    <t>Total Nuclear</t>
  </si>
  <si>
    <t>Total Wind</t>
  </si>
  <si>
    <t>Total Solar</t>
  </si>
  <si>
    <t>Nuclear marginal:</t>
  </si>
  <si>
    <t>Total effective</t>
  </si>
  <si>
    <t>Centrina biomass</t>
  </si>
  <si>
    <t>Sum</t>
  </si>
  <si>
    <t>NEW WIND</t>
  </si>
  <si>
    <t>Proposal</t>
  </si>
  <si>
    <t>Shoulder</t>
  </si>
  <si>
    <t>Offpeak</t>
  </si>
  <si>
    <t>ROUND 11</t>
  </si>
  <si>
    <t>extra</t>
  </si>
  <si>
    <t>Cost</t>
  </si>
  <si>
    <t>Beta nuclear</t>
  </si>
  <si>
    <t>E4Ever nuclear</t>
  </si>
  <si>
    <t>Du.On wind</t>
  </si>
  <si>
    <t>Centrina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</si>
</sst>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6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2494-17F8-41C5-9F06-C033E26643E6}">
  <dimension ref="A1:V100"/>
  <sheetViews>
    <sheetView tabSelected="1" zoomScaleNormal="100" workbookViewId="0">
      <selection activeCell="I8" sqref="I8"/>
    </sheetView>
  </sheetViews>
  <sheetFormatPr defaultRowHeight="15" x14ac:dyDescent="0.25"/>
  <cols>
    <col min="7" max="7" width="15.85546875" customWidth="1"/>
    <col min="8" max="8" width="15.28515625" customWidth="1"/>
    <col min="9" max="9" width="24" customWidth="1"/>
    <col min="11" max="11" width="12.140625" customWidth="1"/>
    <col min="12" max="12" width="20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>
        <v>1000</v>
      </c>
      <c r="E1" s="3">
        <v>11</v>
      </c>
      <c r="F1" s="1"/>
      <c r="G1" t="s">
        <v>76</v>
      </c>
      <c r="H1" t="s">
        <v>77</v>
      </c>
      <c r="I1" t="s">
        <v>78</v>
      </c>
      <c r="K1" t="s">
        <v>80</v>
      </c>
      <c r="R1" s="14">
        <v>39</v>
      </c>
      <c r="S1" s="14">
        <v>33</v>
      </c>
      <c r="U1" s="14">
        <v>39</v>
      </c>
      <c r="V1" s="14">
        <v>31</v>
      </c>
    </row>
    <row r="2" spans="1:22" x14ac:dyDescent="0.25">
      <c r="A2" s="4" t="s">
        <v>3</v>
      </c>
      <c r="B2" s="4" t="s">
        <v>4</v>
      </c>
      <c r="C2" s="4" t="s">
        <v>2</v>
      </c>
      <c r="D2" s="5">
        <v>1000</v>
      </c>
      <c r="E2" s="6">
        <v>8</v>
      </c>
      <c r="F2" s="4"/>
      <c r="G2">
        <f>SUMIF(C:C,"nuclear",D:D)</f>
        <v>6000</v>
      </c>
      <c r="H2">
        <f>SUMIF(C:C,"wind",D:D)</f>
        <v>9365</v>
      </c>
      <c r="I2">
        <f>SUMIF(C:C,"solar",D:D)</f>
        <v>100</v>
      </c>
      <c r="R2" s="15">
        <v>38</v>
      </c>
      <c r="S2" s="15">
        <v>53</v>
      </c>
      <c r="U2" s="15">
        <v>38</v>
      </c>
      <c r="V2" s="15">
        <v>19</v>
      </c>
    </row>
    <row r="3" spans="1:22" x14ac:dyDescent="0.25">
      <c r="A3" s="1" t="s">
        <v>5</v>
      </c>
      <c r="B3" s="1" t="s">
        <v>6</v>
      </c>
      <c r="C3" s="1" t="s">
        <v>7</v>
      </c>
      <c r="D3" s="2">
        <v>200</v>
      </c>
      <c r="E3" s="3">
        <v>8</v>
      </c>
      <c r="F3" s="1"/>
      <c r="H3">
        <f>0.4*H2</f>
        <v>3746</v>
      </c>
      <c r="I3">
        <f>0.15*I2</f>
        <v>15</v>
      </c>
      <c r="K3">
        <f>G2+H3+I3</f>
        <v>9761</v>
      </c>
      <c r="R3" s="14">
        <v>37</v>
      </c>
      <c r="S3" s="14">
        <v>72</v>
      </c>
      <c r="U3" s="14">
        <v>37</v>
      </c>
      <c r="V3" s="14">
        <v>0</v>
      </c>
    </row>
    <row r="4" spans="1:22" x14ac:dyDescent="0.25">
      <c r="A4" s="4" t="s">
        <v>5</v>
      </c>
      <c r="B4" s="4" t="s">
        <v>8</v>
      </c>
      <c r="C4" s="4" t="s">
        <v>7</v>
      </c>
      <c r="D4" s="5">
        <v>200</v>
      </c>
      <c r="E4" s="6">
        <v>8</v>
      </c>
      <c r="F4" s="4"/>
      <c r="G4" t="s">
        <v>90</v>
      </c>
      <c r="H4" t="s">
        <v>92</v>
      </c>
      <c r="R4" s="15">
        <v>36</v>
      </c>
      <c r="S4" s="15">
        <v>77</v>
      </c>
      <c r="U4" s="15">
        <v>36</v>
      </c>
      <c r="V4" s="15">
        <v>1</v>
      </c>
    </row>
    <row r="5" spans="1:22" x14ac:dyDescent="0.25">
      <c r="A5" s="1" t="s">
        <v>5</v>
      </c>
      <c r="B5" s="1" t="s">
        <v>9</v>
      </c>
      <c r="C5" s="1" t="s">
        <v>7</v>
      </c>
      <c r="D5" s="2">
        <v>200</v>
      </c>
      <c r="E5" s="3">
        <v>8</v>
      </c>
      <c r="F5" s="1"/>
      <c r="G5">
        <f>SUMIFS(D:D,C:C,"nuclear",A:A,"Beta")</f>
        <v>1800</v>
      </c>
      <c r="H5">
        <f>SUMIFS(D:D,C:C,"wind",A:A,"Du.On")</f>
        <v>6400</v>
      </c>
      <c r="R5" s="14">
        <v>35</v>
      </c>
      <c r="S5" s="14">
        <v>71</v>
      </c>
      <c r="U5" s="14">
        <v>35</v>
      </c>
      <c r="V5" s="14">
        <v>17</v>
      </c>
    </row>
    <row r="6" spans="1:22" x14ac:dyDescent="0.25">
      <c r="A6" s="4" t="s">
        <v>10</v>
      </c>
      <c r="B6" s="4" t="s">
        <v>11</v>
      </c>
      <c r="C6" s="4" t="s">
        <v>7</v>
      </c>
      <c r="D6" s="5">
        <v>700</v>
      </c>
      <c r="E6" s="6">
        <v>4</v>
      </c>
      <c r="F6" s="4"/>
      <c r="R6" s="15">
        <v>34</v>
      </c>
      <c r="S6" s="15">
        <v>37</v>
      </c>
      <c r="U6" s="15">
        <v>34</v>
      </c>
      <c r="V6" s="15">
        <v>18</v>
      </c>
    </row>
    <row r="7" spans="1:22" x14ac:dyDescent="0.25">
      <c r="A7" s="1" t="s">
        <v>10</v>
      </c>
      <c r="B7" s="1" t="s">
        <v>12</v>
      </c>
      <c r="C7" s="1" t="s">
        <v>7</v>
      </c>
      <c r="D7" s="2">
        <v>700</v>
      </c>
      <c r="E7" s="3">
        <v>4</v>
      </c>
      <c r="F7" s="1"/>
      <c r="G7" t="s">
        <v>91</v>
      </c>
      <c r="H7" t="s">
        <v>93</v>
      </c>
      <c r="I7" t="s">
        <v>81</v>
      </c>
      <c r="J7" t="s">
        <v>82</v>
      </c>
      <c r="R7" s="14">
        <v>33</v>
      </c>
      <c r="S7" s="14">
        <v>32</v>
      </c>
      <c r="U7" s="14">
        <v>33</v>
      </c>
      <c r="V7" s="14">
        <v>32</v>
      </c>
    </row>
    <row r="8" spans="1:22" x14ac:dyDescent="0.25">
      <c r="A8" s="4" t="s">
        <v>5</v>
      </c>
      <c r="B8" s="4" t="s">
        <v>13</v>
      </c>
      <c r="C8" s="4" t="s">
        <v>7</v>
      </c>
      <c r="D8" s="5">
        <v>100</v>
      </c>
      <c r="E8" s="6">
        <v>3</v>
      </c>
      <c r="F8" s="4"/>
      <c r="G8">
        <f>SUMIFS(D:D,C:C,"nuclear",A:A,"E4Ever")</f>
        <v>1800</v>
      </c>
      <c r="H8">
        <f>SUMIFS(D:D,C:C,"wind",A:A,"Centrina")</f>
        <v>2250</v>
      </c>
      <c r="I8">
        <v>500</v>
      </c>
      <c r="J8">
        <f>H8+I8</f>
        <v>2750</v>
      </c>
      <c r="R8" s="15">
        <v>32</v>
      </c>
      <c r="S8" s="15">
        <v>71</v>
      </c>
      <c r="U8" s="15">
        <v>32</v>
      </c>
      <c r="V8" s="15">
        <v>32</v>
      </c>
    </row>
    <row r="9" spans="1:22" x14ac:dyDescent="0.25">
      <c r="A9" s="1" t="s">
        <v>5</v>
      </c>
      <c r="B9" s="1" t="s">
        <v>14</v>
      </c>
      <c r="C9" s="1" t="s">
        <v>7</v>
      </c>
      <c r="D9" s="2">
        <v>100</v>
      </c>
      <c r="E9" s="3">
        <v>3</v>
      </c>
      <c r="F9" s="1"/>
      <c r="R9" s="14">
        <v>31</v>
      </c>
      <c r="S9" s="14">
        <v>20</v>
      </c>
      <c r="U9" s="14">
        <v>31</v>
      </c>
      <c r="V9" s="14">
        <v>30</v>
      </c>
    </row>
    <row r="10" spans="1:22" x14ac:dyDescent="0.25">
      <c r="A10" s="4" t="s">
        <v>5</v>
      </c>
      <c r="B10" s="4" t="s">
        <v>15</v>
      </c>
      <c r="C10" s="4" t="s">
        <v>7</v>
      </c>
      <c r="D10" s="5">
        <v>100</v>
      </c>
      <c r="E10" s="6">
        <v>3</v>
      </c>
      <c r="F10" s="4"/>
      <c r="G10" t="s">
        <v>79</v>
      </c>
      <c r="R10" s="15">
        <v>30</v>
      </c>
      <c r="S10" s="15">
        <v>25</v>
      </c>
      <c r="U10" s="15">
        <v>30</v>
      </c>
      <c r="V10" s="15">
        <v>32</v>
      </c>
    </row>
    <row r="11" spans="1:22" x14ac:dyDescent="0.25">
      <c r="A11" s="1" t="s">
        <v>5</v>
      </c>
      <c r="B11" s="1" t="s">
        <v>16</v>
      </c>
      <c r="C11" s="1" t="s">
        <v>7</v>
      </c>
      <c r="D11" s="2">
        <v>100</v>
      </c>
      <c r="E11" s="3">
        <v>3</v>
      </c>
      <c r="F11" s="1"/>
      <c r="G11">
        <v>3.7757999999999998</v>
      </c>
      <c r="R11" s="14">
        <v>29</v>
      </c>
      <c r="S11" s="14">
        <v>23</v>
      </c>
      <c r="U11" s="14">
        <v>29</v>
      </c>
      <c r="V11" s="14">
        <v>7</v>
      </c>
    </row>
    <row r="12" spans="1:22" x14ac:dyDescent="0.25">
      <c r="A12" s="4" t="s">
        <v>5</v>
      </c>
      <c r="B12" s="4" t="s">
        <v>17</v>
      </c>
      <c r="C12" s="4" t="s">
        <v>7</v>
      </c>
      <c r="D12" s="5">
        <v>100</v>
      </c>
      <c r="E12" s="6">
        <v>3</v>
      </c>
      <c r="F12" s="4"/>
      <c r="R12" s="15">
        <v>28</v>
      </c>
      <c r="S12" s="15">
        <v>33</v>
      </c>
      <c r="U12" s="15">
        <v>28</v>
      </c>
      <c r="V12" s="15">
        <v>0</v>
      </c>
    </row>
    <row r="13" spans="1:22" x14ac:dyDescent="0.25">
      <c r="A13" s="1" t="s">
        <v>3</v>
      </c>
      <c r="B13" s="1" t="s">
        <v>18</v>
      </c>
      <c r="C13" s="1" t="s">
        <v>19</v>
      </c>
      <c r="D13" s="2">
        <v>70</v>
      </c>
      <c r="E13" s="3">
        <v>2</v>
      </c>
      <c r="F13" s="1"/>
      <c r="R13" s="14">
        <v>27</v>
      </c>
      <c r="S13" s="14">
        <v>68</v>
      </c>
      <c r="U13" s="14">
        <v>27</v>
      </c>
      <c r="V13" s="14">
        <v>20</v>
      </c>
    </row>
    <row r="14" spans="1:22" x14ac:dyDescent="0.25">
      <c r="A14" s="4" t="s">
        <v>0</v>
      </c>
      <c r="B14" s="4" t="s">
        <v>20</v>
      </c>
      <c r="C14" s="4" t="s">
        <v>19</v>
      </c>
      <c r="D14" s="5">
        <v>90</v>
      </c>
      <c r="E14" s="6">
        <v>2</v>
      </c>
      <c r="F14" s="4"/>
      <c r="R14" s="15">
        <v>26</v>
      </c>
      <c r="S14" s="15">
        <v>52</v>
      </c>
      <c r="U14" s="15">
        <v>26</v>
      </c>
      <c r="V14" s="15">
        <v>6</v>
      </c>
    </row>
    <row r="15" spans="1:22" x14ac:dyDescent="0.25">
      <c r="A15" s="1" t="s">
        <v>21</v>
      </c>
      <c r="B15" s="1" t="s">
        <v>22</v>
      </c>
      <c r="C15" s="1" t="s">
        <v>7</v>
      </c>
      <c r="D15" s="2">
        <v>250</v>
      </c>
      <c r="E15" s="3">
        <v>0</v>
      </c>
      <c r="F15" s="1"/>
      <c r="R15" s="14">
        <v>25</v>
      </c>
      <c r="S15" s="14">
        <v>21</v>
      </c>
      <c r="U15" s="14">
        <v>25</v>
      </c>
      <c r="V15" s="14">
        <v>1</v>
      </c>
    </row>
    <row r="16" spans="1:22" x14ac:dyDescent="0.25">
      <c r="A16" s="4" t="s">
        <v>3</v>
      </c>
      <c r="B16" s="4" t="s">
        <v>23</v>
      </c>
      <c r="C16" s="4" t="s">
        <v>7</v>
      </c>
      <c r="D16" s="5">
        <v>200</v>
      </c>
      <c r="E16" s="6">
        <v>0</v>
      </c>
      <c r="F16" s="4"/>
      <c r="R16" s="15">
        <v>24</v>
      </c>
      <c r="S16" s="15">
        <v>61</v>
      </c>
      <c r="U16" s="15">
        <v>24</v>
      </c>
      <c r="V16" s="15">
        <v>20</v>
      </c>
    </row>
    <row r="17" spans="1:22" x14ac:dyDescent="0.25">
      <c r="A17" s="1" t="s">
        <v>5</v>
      </c>
      <c r="B17" s="1" t="s">
        <v>24</v>
      </c>
      <c r="C17" s="1" t="s">
        <v>7</v>
      </c>
      <c r="D17" s="2">
        <v>150</v>
      </c>
      <c r="E17" s="3">
        <v>0</v>
      </c>
      <c r="F17" s="1"/>
      <c r="R17" s="14">
        <v>23</v>
      </c>
      <c r="S17" s="14">
        <v>18</v>
      </c>
      <c r="U17" s="14">
        <v>23</v>
      </c>
      <c r="V17" s="14">
        <v>4</v>
      </c>
    </row>
    <row r="18" spans="1:22" x14ac:dyDescent="0.25">
      <c r="A18" s="4" t="s">
        <v>10</v>
      </c>
      <c r="B18" s="4" t="s">
        <v>25</v>
      </c>
      <c r="C18" s="4" t="s">
        <v>7</v>
      </c>
      <c r="D18" s="5">
        <v>50</v>
      </c>
      <c r="E18" s="6">
        <v>0</v>
      </c>
      <c r="F18" s="4"/>
      <c r="R18" s="15">
        <v>22</v>
      </c>
      <c r="S18" s="15">
        <v>63</v>
      </c>
      <c r="U18" s="15">
        <v>22</v>
      </c>
      <c r="V18" s="15">
        <v>3</v>
      </c>
    </row>
    <row r="19" spans="1:22" x14ac:dyDescent="0.25">
      <c r="A19" s="1" t="s">
        <v>0</v>
      </c>
      <c r="B19" s="1" t="s">
        <v>26</v>
      </c>
      <c r="C19" s="1" t="s">
        <v>27</v>
      </c>
      <c r="D19" s="2">
        <v>700</v>
      </c>
      <c r="E19" s="3">
        <v>0</v>
      </c>
      <c r="F19" s="1"/>
      <c r="R19" s="14">
        <v>21</v>
      </c>
      <c r="S19" s="14">
        <v>70</v>
      </c>
      <c r="U19" s="14">
        <v>21</v>
      </c>
      <c r="V19" s="14">
        <v>6</v>
      </c>
    </row>
    <row r="20" spans="1:22" x14ac:dyDescent="0.25">
      <c r="A20" s="4" t="s">
        <v>0</v>
      </c>
      <c r="B20" s="4" t="s">
        <v>28</v>
      </c>
      <c r="C20" s="4" t="s">
        <v>7</v>
      </c>
      <c r="D20" s="5">
        <v>50</v>
      </c>
      <c r="E20" s="6">
        <v>0</v>
      </c>
      <c r="F20" s="4"/>
      <c r="R20" s="15">
        <v>20</v>
      </c>
      <c r="S20" s="15">
        <v>65</v>
      </c>
      <c r="U20" s="15">
        <v>20</v>
      </c>
      <c r="V20" s="15">
        <v>13</v>
      </c>
    </row>
    <row r="21" spans="1:22" x14ac:dyDescent="0.25">
      <c r="A21" s="1" t="s">
        <v>21</v>
      </c>
      <c r="B21" s="1" t="s">
        <v>29</v>
      </c>
      <c r="C21" s="1" t="s">
        <v>19</v>
      </c>
      <c r="D21" s="2">
        <v>100</v>
      </c>
      <c r="E21" s="3">
        <v>-1</v>
      </c>
      <c r="F21" s="1"/>
      <c r="R21" s="14">
        <v>19</v>
      </c>
      <c r="S21" s="14">
        <v>59</v>
      </c>
      <c r="U21" s="14">
        <v>19</v>
      </c>
      <c r="V21" s="14">
        <v>20</v>
      </c>
    </row>
    <row r="22" spans="1:22" x14ac:dyDescent="0.25">
      <c r="A22" s="4" t="s">
        <v>10</v>
      </c>
      <c r="B22" s="4" t="s">
        <v>30</v>
      </c>
      <c r="C22" s="4" t="s">
        <v>31</v>
      </c>
      <c r="D22" s="5">
        <v>20</v>
      </c>
      <c r="E22" s="6">
        <v>-1</v>
      </c>
      <c r="F22" s="4"/>
      <c r="R22" s="15">
        <v>18</v>
      </c>
      <c r="S22" s="15">
        <v>68</v>
      </c>
      <c r="U22" s="15">
        <v>18</v>
      </c>
      <c r="V22" s="15">
        <v>2</v>
      </c>
    </row>
    <row r="23" spans="1:22" x14ac:dyDescent="0.25">
      <c r="A23" s="1" t="s">
        <v>0</v>
      </c>
      <c r="B23" s="1" t="s">
        <v>32</v>
      </c>
      <c r="C23" s="1" t="s">
        <v>7</v>
      </c>
      <c r="D23" s="2">
        <v>150</v>
      </c>
      <c r="E23" s="3">
        <v>-1</v>
      </c>
      <c r="F23" s="1"/>
      <c r="R23" s="14">
        <v>17</v>
      </c>
      <c r="S23" s="14">
        <v>71</v>
      </c>
      <c r="U23" s="14">
        <v>17</v>
      </c>
      <c r="V23" s="14">
        <v>2</v>
      </c>
    </row>
    <row r="24" spans="1:22" x14ac:dyDescent="0.25">
      <c r="A24" s="4" t="s">
        <v>5</v>
      </c>
      <c r="B24" s="4" t="s">
        <v>33</v>
      </c>
      <c r="C24" s="4" t="s">
        <v>31</v>
      </c>
      <c r="D24" s="5">
        <v>20</v>
      </c>
      <c r="E24" s="6">
        <v>-2</v>
      </c>
      <c r="F24" s="4"/>
      <c r="R24" s="15">
        <v>16</v>
      </c>
      <c r="S24" s="15">
        <v>80</v>
      </c>
      <c r="U24" s="15">
        <v>16</v>
      </c>
      <c r="V24" s="15">
        <v>16</v>
      </c>
    </row>
    <row r="25" spans="1:22" x14ac:dyDescent="0.25">
      <c r="A25" s="1" t="s">
        <v>5</v>
      </c>
      <c r="B25" s="1" t="s">
        <v>34</v>
      </c>
      <c r="C25" s="1" t="s">
        <v>27</v>
      </c>
      <c r="D25" s="2">
        <v>600</v>
      </c>
      <c r="E25" s="3">
        <v>-3</v>
      </c>
      <c r="F25" s="1"/>
      <c r="R25" s="14">
        <v>15</v>
      </c>
      <c r="S25" s="14">
        <v>27</v>
      </c>
      <c r="U25" s="14">
        <v>15</v>
      </c>
      <c r="V25" s="14">
        <v>9</v>
      </c>
    </row>
    <row r="26" spans="1:22" x14ac:dyDescent="0.25">
      <c r="A26" s="4" t="s">
        <v>10</v>
      </c>
      <c r="B26" s="4" t="s">
        <v>35</v>
      </c>
      <c r="C26" s="4" t="s">
        <v>7</v>
      </c>
      <c r="D26" s="5">
        <v>50</v>
      </c>
      <c r="E26" s="6">
        <v>-3</v>
      </c>
      <c r="F26" s="4"/>
      <c r="R26" s="15">
        <v>14</v>
      </c>
      <c r="S26" s="15">
        <v>45</v>
      </c>
      <c r="U26" s="15">
        <v>14</v>
      </c>
      <c r="V26" s="15">
        <v>33</v>
      </c>
    </row>
    <row r="27" spans="1:22" x14ac:dyDescent="0.25">
      <c r="A27" s="1" t="s">
        <v>10</v>
      </c>
      <c r="B27" s="1" t="s">
        <v>36</v>
      </c>
      <c r="C27" s="1" t="s">
        <v>19</v>
      </c>
      <c r="D27" s="2">
        <v>100</v>
      </c>
      <c r="E27" s="3">
        <v>-3</v>
      </c>
      <c r="F27" s="1"/>
      <c r="R27" s="14">
        <v>13</v>
      </c>
      <c r="S27" s="14">
        <v>42</v>
      </c>
      <c r="U27" s="14">
        <v>13</v>
      </c>
      <c r="V27" s="14">
        <v>29</v>
      </c>
    </row>
    <row r="28" spans="1:22" x14ac:dyDescent="0.25">
      <c r="A28" s="4" t="s">
        <v>0</v>
      </c>
      <c r="B28" s="4" t="s">
        <v>37</v>
      </c>
      <c r="C28" s="4" t="s">
        <v>31</v>
      </c>
      <c r="D28" s="5">
        <v>20</v>
      </c>
      <c r="E28" s="6">
        <v>-3</v>
      </c>
      <c r="F28" s="4"/>
      <c r="R28" s="15">
        <v>12</v>
      </c>
      <c r="S28" s="15">
        <v>45</v>
      </c>
      <c r="U28" s="15">
        <v>12</v>
      </c>
      <c r="V28" s="15">
        <v>21</v>
      </c>
    </row>
    <row r="29" spans="1:22" ht="16.5" x14ac:dyDescent="0.25">
      <c r="A29" s="1" t="s">
        <v>3</v>
      </c>
      <c r="B29" s="1" t="s">
        <v>38</v>
      </c>
      <c r="C29" s="1" t="s">
        <v>39</v>
      </c>
      <c r="D29" s="2">
        <v>500</v>
      </c>
      <c r="E29" s="3">
        <v>-4</v>
      </c>
      <c r="F29" s="1"/>
      <c r="R29" s="14">
        <v>11</v>
      </c>
      <c r="S29" s="14">
        <v>47</v>
      </c>
      <c r="U29" s="14">
        <v>11</v>
      </c>
      <c r="V29" s="14">
        <v>23</v>
      </c>
    </row>
    <row r="30" spans="1:22" x14ac:dyDescent="0.25">
      <c r="A30" s="4" t="s">
        <v>5</v>
      </c>
      <c r="B30" s="4" t="s">
        <v>40</v>
      </c>
      <c r="C30" s="4" t="s">
        <v>7</v>
      </c>
      <c r="D30" s="5">
        <v>100</v>
      </c>
      <c r="E30" s="6">
        <v>-4</v>
      </c>
      <c r="F30" s="4"/>
      <c r="R30" s="15">
        <v>10</v>
      </c>
      <c r="S30" s="15">
        <v>41</v>
      </c>
      <c r="U30" s="15">
        <v>10</v>
      </c>
      <c r="V30" s="15">
        <v>10</v>
      </c>
    </row>
    <row r="31" spans="1:22" x14ac:dyDescent="0.25">
      <c r="A31" s="1" t="s">
        <v>21</v>
      </c>
      <c r="B31" s="1" t="s">
        <v>41</v>
      </c>
      <c r="C31" s="1" t="s">
        <v>31</v>
      </c>
      <c r="D31" s="2">
        <v>20</v>
      </c>
      <c r="E31" s="3">
        <v>-5</v>
      </c>
      <c r="F31" s="1"/>
      <c r="R31" s="14">
        <v>9</v>
      </c>
      <c r="S31" s="14">
        <v>39</v>
      </c>
      <c r="U31" s="14">
        <v>9</v>
      </c>
      <c r="V31" s="14">
        <v>5</v>
      </c>
    </row>
    <row r="32" spans="1:22" x14ac:dyDescent="0.25">
      <c r="A32" s="4" t="s">
        <v>5</v>
      </c>
      <c r="B32" s="4" t="s">
        <v>42</v>
      </c>
      <c r="C32" s="4" t="s">
        <v>19</v>
      </c>
      <c r="D32" s="5">
        <v>120</v>
      </c>
      <c r="E32" s="6">
        <v>-5</v>
      </c>
      <c r="F32" s="4"/>
      <c r="R32" s="15">
        <v>8</v>
      </c>
      <c r="S32" s="15">
        <v>51</v>
      </c>
      <c r="U32" s="15">
        <v>8</v>
      </c>
      <c r="V32" s="15">
        <v>1</v>
      </c>
    </row>
    <row r="33" spans="1:22" ht="16.5" x14ac:dyDescent="0.25">
      <c r="A33" s="1" t="s">
        <v>10</v>
      </c>
      <c r="B33" s="1" t="s">
        <v>43</v>
      </c>
      <c r="C33" s="1" t="s">
        <v>44</v>
      </c>
      <c r="D33" s="2">
        <v>50</v>
      </c>
      <c r="E33" s="3">
        <v>-5</v>
      </c>
      <c r="F33" s="1"/>
      <c r="R33" s="14">
        <v>7</v>
      </c>
      <c r="S33" s="14">
        <v>50</v>
      </c>
      <c r="U33" s="14">
        <v>7</v>
      </c>
      <c r="V33" s="14">
        <v>8</v>
      </c>
    </row>
    <row r="34" spans="1:22" x14ac:dyDescent="0.25">
      <c r="A34" s="4" t="s">
        <v>21</v>
      </c>
      <c r="B34" s="4" t="s">
        <v>45</v>
      </c>
      <c r="C34" s="4" t="s">
        <v>7</v>
      </c>
      <c r="D34" s="5">
        <v>50</v>
      </c>
      <c r="E34" s="6">
        <v>-6</v>
      </c>
      <c r="F34" s="4"/>
      <c r="R34" s="15">
        <v>6</v>
      </c>
      <c r="S34" s="15">
        <v>46</v>
      </c>
      <c r="U34" s="15">
        <v>6</v>
      </c>
      <c r="V34" s="15">
        <v>2</v>
      </c>
    </row>
    <row r="35" spans="1:22" ht="16.5" x14ac:dyDescent="0.25">
      <c r="A35" s="1" t="s">
        <v>21</v>
      </c>
      <c r="B35" s="1" t="s">
        <v>46</v>
      </c>
      <c r="C35" s="1" t="s">
        <v>44</v>
      </c>
      <c r="D35" s="2">
        <v>50</v>
      </c>
      <c r="E35" s="3">
        <v>-6</v>
      </c>
      <c r="F35" s="1"/>
      <c r="R35" s="14">
        <v>5</v>
      </c>
      <c r="S35" s="14">
        <v>32</v>
      </c>
      <c r="U35" s="14">
        <v>5</v>
      </c>
      <c r="V35" s="14">
        <v>9</v>
      </c>
    </row>
    <row r="36" spans="1:22" x14ac:dyDescent="0.25">
      <c r="A36" s="4" t="s">
        <v>3</v>
      </c>
      <c r="B36" s="4" t="s">
        <v>47</v>
      </c>
      <c r="C36" s="4" t="s">
        <v>7</v>
      </c>
      <c r="D36" s="5">
        <v>15</v>
      </c>
      <c r="E36" s="6">
        <v>-6</v>
      </c>
      <c r="F36" s="4"/>
      <c r="R36" s="15">
        <v>4</v>
      </c>
      <c r="S36" s="15">
        <v>15</v>
      </c>
      <c r="U36" s="15">
        <v>4</v>
      </c>
      <c r="V36" s="15">
        <v>22</v>
      </c>
    </row>
    <row r="37" spans="1:22" x14ac:dyDescent="0.25">
      <c r="A37" s="1" t="s">
        <v>3</v>
      </c>
      <c r="B37" s="1" t="s">
        <v>48</v>
      </c>
      <c r="C37" s="1" t="s">
        <v>31</v>
      </c>
      <c r="D37" s="2">
        <v>20</v>
      </c>
      <c r="E37" s="3">
        <v>-6</v>
      </c>
      <c r="F37" s="1"/>
      <c r="R37" s="14">
        <v>3</v>
      </c>
      <c r="S37" s="14">
        <v>43</v>
      </c>
      <c r="U37" s="14">
        <v>3</v>
      </c>
      <c r="V37" s="14">
        <v>13</v>
      </c>
    </row>
    <row r="38" spans="1:22" x14ac:dyDescent="0.25">
      <c r="A38" s="4" t="s">
        <v>10</v>
      </c>
      <c r="B38" s="4" t="s">
        <v>49</v>
      </c>
      <c r="C38" s="4" t="s">
        <v>27</v>
      </c>
      <c r="D38" s="5">
        <v>600</v>
      </c>
      <c r="E38" s="6">
        <v>-6</v>
      </c>
      <c r="F38" s="4"/>
      <c r="R38" s="15">
        <v>2</v>
      </c>
      <c r="S38" s="15">
        <v>25</v>
      </c>
      <c r="U38" s="15">
        <v>2</v>
      </c>
      <c r="V38" s="15">
        <v>36</v>
      </c>
    </row>
    <row r="39" spans="1:22" x14ac:dyDescent="0.25">
      <c r="A39" s="1" t="s">
        <v>3</v>
      </c>
      <c r="B39" s="1" t="s">
        <v>50</v>
      </c>
      <c r="C39" s="1" t="s">
        <v>27</v>
      </c>
      <c r="D39" s="2">
        <v>600</v>
      </c>
      <c r="E39" s="3">
        <v>-8</v>
      </c>
      <c r="F39" s="1"/>
      <c r="R39" s="14">
        <v>1</v>
      </c>
      <c r="S39" s="14">
        <v>23</v>
      </c>
      <c r="U39" s="14">
        <v>1</v>
      </c>
      <c r="V39" s="14">
        <v>6</v>
      </c>
    </row>
    <row r="40" spans="1:22" ht="16.5" x14ac:dyDescent="0.25">
      <c r="A40" s="4" t="s">
        <v>10</v>
      </c>
      <c r="B40" s="4" t="s">
        <v>51</v>
      </c>
      <c r="C40" s="4" t="s">
        <v>44</v>
      </c>
      <c r="D40" s="5">
        <v>50</v>
      </c>
      <c r="E40" s="6">
        <v>-8</v>
      </c>
      <c r="F40" s="4"/>
      <c r="R40" s="15">
        <v>0</v>
      </c>
      <c r="S40" s="15">
        <v>83</v>
      </c>
      <c r="U40" s="15">
        <v>0</v>
      </c>
      <c r="V40" s="15">
        <v>8</v>
      </c>
    </row>
    <row r="41" spans="1:22" x14ac:dyDescent="0.25">
      <c r="A41" s="1" t="s">
        <v>21</v>
      </c>
      <c r="B41" s="1" t="s">
        <v>52</v>
      </c>
      <c r="C41" s="1" t="s">
        <v>2</v>
      </c>
      <c r="D41" s="2">
        <v>800</v>
      </c>
      <c r="E41" s="3">
        <v>-9</v>
      </c>
      <c r="F41" s="1"/>
      <c r="R41" s="14">
        <v>-1</v>
      </c>
      <c r="S41" s="14">
        <v>65</v>
      </c>
      <c r="U41" s="14">
        <v>-1</v>
      </c>
      <c r="V41" s="14">
        <v>19</v>
      </c>
    </row>
    <row r="42" spans="1:22" x14ac:dyDescent="0.25">
      <c r="A42" s="4" t="s">
        <v>3</v>
      </c>
      <c r="B42" s="4" t="s">
        <v>53</v>
      </c>
      <c r="C42" s="4" t="s">
        <v>2</v>
      </c>
      <c r="D42" s="5">
        <v>800</v>
      </c>
      <c r="E42" s="6">
        <v>-9</v>
      </c>
      <c r="F42" s="4"/>
      <c r="R42" s="15">
        <v>-2</v>
      </c>
      <c r="S42" s="15">
        <v>84</v>
      </c>
      <c r="U42" s="15">
        <v>-2</v>
      </c>
      <c r="V42" s="15">
        <v>7</v>
      </c>
    </row>
    <row r="43" spans="1:22" x14ac:dyDescent="0.25">
      <c r="A43" s="1" t="s">
        <v>5</v>
      </c>
      <c r="B43" s="1" t="s">
        <v>54</v>
      </c>
      <c r="C43" s="1" t="s">
        <v>2</v>
      </c>
      <c r="D43" s="2">
        <v>800</v>
      </c>
      <c r="E43" s="3">
        <v>-9</v>
      </c>
      <c r="F43" s="1"/>
      <c r="R43" s="14">
        <v>-3</v>
      </c>
      <c r="S43" s="14">
        <v>27</v>
      </c>
      <c r="U43" s="14">
        <v>-3</v>
      </c>
      <c r="V43" s="14">
        <v>17</v>
      </c>
    </row>
    <row r="44" spans="1:22" x14ac:dyDescent="0.25">
      <c r="A44" s="4" t="s">
        <v>10</v>
      </c>
      <c r="B44" s="4" t="s">
        <v>55</v>
      </c>
      <c r="C44" s="4" t="s">
        <v>2</v>
      </c>
      <c r="D44" s="5">
        <v>800</v>
      </c>
      <c r="E44" s="6">
        <v>-9</v>
      </c>
      <c r="F44" s="4"/>
      <c r="R44" s="15">
        <v>-4</v>
      </c>
      <c r="S44" s="15">
        <v>64</v>
      </c>
      <c r="U44" s="15">
        <v>-4</v>
      </c>
      <c r="V44" s="15">
        <v>32</v>
      </c>
    </row>
    <row r="45" spans="1:22" ht="15.75" thickBot="1" x14ac:dyDescent="0.3">
      <c r="A45" s="1" t="s">
        <v>0</v>
      </c>
      <c r="B45" s="1" t="s">
        <v>56</v>
      </c>
      <c r="C45" s="1" t="s">
        <v>2</v>
      </c>
      <c r="D45" s="2">
        <v>800</v>
      </c>
      <c r="E45" s="3">
        <v>-9</v>
      </c>
      <c r="F45" s="1"/>
      <c r="R45" s="16">
        <v>-5</v>
      </c>
      <c r="S45" s="16">
        <v>27</v>
      </c>
      <c r="U45" s="16">
        <v>-5</v>
      </c>
      <c r="V45" s="16">
        <v>13</v>
      </c>
    </row>
    <row r="46" spans="1:22" ht="16.5" x14ac:dyDescent="0.25">
      <c r="A46" s="4" t="s">
        <v>3</v>
      </c>
      <c r="B46" s="4" t="s">
        <v>57</v>
      </c>
      <c r="C46" s="4" t="s">
        <v>44</v>
      </c>
      <c r="D46" s="5">
        <v>35</v>
      </c>
      <c r="E46" s="6">
        <v>-10</v>
      </c>
      <c r="F46" s="4"/>
      <c r="S46">
        <f>AVERAGE(S1:S45)</f>
        <v>48.088888888888889</v>
      </c>
      <c r="V46">
        <f>AVERAGE(V1:V45)</f>
        <v>14.555555555555555</v>
      </c>
    </row>
    <row r="47" spans="1:22" ht="16.5" x14ac:dyDescent="0.25">
      <c r="A47" s="1" t="s">
        <v>5</v>
      </c>
      <c r="B47" s="1" t="s">
        <v>58</v>
      </c>
      <c r="C47" s="1" t="s">
        <v>39</v>
      </c>
      <c r="D47" s="2">
        <v>350</v>
      </c>
      <c r="E47" s="3">
        <v>-10</v>
      </c>
      <c r="F47" s="1"/>
      <c r="S47">
        <f>_xlfn.STDEV.P(S1:S45)</f>
        <v>19.813376202535746</v>
      </c>
      <c r="V47">
        <f>_xlfn.STDEV.P(V1:V45)</f>
        <v>10.904750352342486</v>
      </c>
    </row>
    <row r="48" spans="1:22" ht="16.5" x14ac:dyDescent="0.25">
      <c r="A48" s="4" t="s">
        <v>3</v>
      </c>
      <c r="B48" s="4" t="s">
        <v>59</v>
      </c>
      <c r="C48" s="4" t="s">
        <v>44</v>
      </c>
      <c r="D48" s="5">
        <v>50</v>
      </c>
      <c r="E48" s="6">
        <v>-11</v>
      </c>
      <c r="F48" s="4"/>
    </row>
    <row r="49" spans="1:12" ht="16.5" x14ac:dyDescent="0.25">
      <c r="A49" s="1" t="s">
        <v>10</v>
      </c>
      <c r="B49" s="1" t="s">
        <v>60</v>
      </c>
      <c r="C49" s="1" t="s">
        <v>39</v>
      </c>
      <c r="D49" s="2">
        <v>500</v>
      </c>
      <c r="E49" s="3">
        <v>-11</v>
      </c>
      <c r="F49" s="1"/>
    </row>
    <row r="50" spans="1:12" ht="16.5" x14ac:dyDescent="0.25">
      <c r="A50" s="4" t="s">
        <v>21</v>
      </c>
      <c r="B50" s="4" t="s">
        <v>61</v>
      </c>
      <c r="C50" s="4" t="s">
        <v>39</v>
      </c>
      <c r="D50" s="5">
        <v>600</v>
      </c>
      <c r="E50" s="6">
        <v>-14</v>
      </c>
      <c r="F50" s="4"/>
    </row>
    <row r="51" spans="1:12" x14ac:dyDescent="0.25">
      <c r="A51" s="1" t="s">
        <v>10</v>
      </c>
      <c r="B51" s="1" t="s">
        <v>62</v>
      </c>
      <c r="C51" s="1" t="s">
        <v>27</v>
      </c>
      <c r="D51" s="2">
        <v>600</v>
      </c>
      <c r="E51" s="3">
        <v>-14</v>
      </c>
      <c r="F51" s="1"/>
    </row>
    <row r="52" spans="1:12" ht="17.25" thickBot="1" x14ac:dyDescent="0.3">
      <c r="A52" s="7" t="s">
        <v>21</v>
      </c>
      <c r="B52" s="7" t="s">
        <v>63</v>
      </c>
      <c r="C52" s="7" t="s">
        <v>39</v>
      </c>
      <c r="D52" s="8">
        <v>200</v>
      </c>
      <c r="E52" s="9">
        <v>-18</v>
      </c>
      <c r="F52" s="10"/>
    </row>
    <row r="53" spans="1:12" x14ac:dyDescent="0.25">
      <c r="A53" s="4" t="s">
        <v>5</v>
      </c>
      <c r="B53" s="4" t="s">
        <v>64</v>
      </c>
      <c r="C53" s="4" t="s">
        <v>19</v>
      </c>
      <c r="D53" s="5">
        <v>500</v>
      </c>
      <c r="E53" s="6">
        <v>16</v>
      </c>
    </row>
    <row r="54" spans="1:12" x14ac:dyDescent="0.25">
      <c r="A54" s="1" t="s">
        <v>10</v>
      </c>
      <c r="B54" s="1" t="s">
        <v>65</v>
      </c>
      <c r="C54" s="1" t="s">
        <v>7</v>
      </c>
      <c r="D54" s="2">
        <v>700</v>
      </c>
      <c r="E54" s="3">
        <v>13</v>
      </c>
    </row>
    <row r="55" spans="1:12" x14ac:dyDescent="0.25">
      <c r="A55" s="4" t="s">
        <v>10</v>
      </c>
      <c r="B55" s="4" t="s">
        <v>66</v>
      </c>
      <c r="C55" s="4" t="s">
        <v>7</v>
      </c>
      <c r="D55" s="5">
        <v>700</v>
      </c>
      <c r="E55" s="6">
        <v>13</v>
      </c>
    </row>
    <row r="56" spans="1:12" x14ac:dyDescent="0.25">
      <c r="A56" s="1" t="s">
        <v>10</v>
      </c>
      <c r="B56" s="1" t="s">
        <v>67</v>
      </c>
      <c r="C56" s="1" t="s">
        <v>7</v>
      </c>
      <c r="D56" s="2">
        <v>700</v>
      </c>
      <c r="E56" s="3">
        <v>13</v>
      </c>
      <c r="G56" s="2"/>
    </row>
    <row r="57" spans="1:12" x14ac:dyDescent="0.25">
      <c r="A57" s="4" t="s">
        <v>10</v>
      </c>
      <c r="B57" s="4" t="s">
        <v>68</v>
      </c>
      <c r="C57" s="4" t="s">
        <v>7</v>
      </c>
      <c r="D57" s="5">
        <v>700</v>
      </c>
      <c r="E57" s="6">
        <v>13</v>
      </c>
      <c r="G57" s="5"/>
    </row>
    <row r="58" spans="1:12" x14ac:dyDescent="0.25">
      <c r="A58" s="1" t="s">
        <v>10</v>
      </c>
      <c r="B58" s="1" t="s">
        <v>69</v>
      </c>
      <c r="C58" s="1" t="s">
        <v>7</v>
      </c>
      <c r="D58" s="2">
        <v>700</v>
      </c>
      <c r="E58" s="3">
        <v>13</v>
      </c>
      <c r="G58" s="2"/>
      <c r="J58" t="s">
        <v>7</v>
      </c>
      <c r="K58" t="s">
        <v>88</v>
      </c>
      <c r="L58" t="s">
        <v>89</v>
      </c>
    </row>
    <row r="59" spans="1:12" x14ac:dyDescent="0.25">
      <c r="A59" s="4" t="s">
        <v>5</v>
      </c>
      <c r="B59" s="4" t="s">
        <v>70</v>
      </c>
      <c r="C59" s="4" t="s">
        <v>7</v>
      </c>
      <c r="D59" s="5">
        <v>300</v>
      </c>
      <c r="E59" s="6">
        <v>13</v>
      </c>
      <c r="G59" s="5"/>
      <c r="H59" t="s">
        <v>83</v>
      </c>
      <c r="I59" t="s">
        <v>84</v>
      </c>
      <c r="J59">
        <v>3000</v>
      </c>
      <c r="K59">
        <v>0</v>
      </c>
      <c r="L59">
        <f>0.214*J59</f>
        <v>642</v>
      </c>
    </row>
    <row r="60" spans="1:12" x14ac:dyDescent="0.25">
      <c r="A60" s="1" t="s">
        <v>5</v>
      </c>
      <c r="B60" s="1" t="s">
        <v>71</v>
      </c>
      <c r="C60" s="1" t="s">
        <v>7</v>
      </c>
      <c r="D60" s="2">
        <v>300</v>
      </c>
      <c r="E60" s="3">
        <v>13</v>
      </c>
      <c r="G60" s="2"/>
      <c r="H60">
        <f>SUMIF(C53:C64,"wind",D53:D64)</f>
        <v>5800</v>
      </c>
      <c r="I60">
        <f>H60+J59</f>
        <v>8800</v>
      </c>
    </row>
    <row r="61" spans="1:12" x14ac:dyDescent="0.25">
      <c r="A61" s="4" t="s">
        <v>5</v>
      </c>
      <c r="B61" s="4" t="s">
        <v>72</v>
      </c>
      <c r="C61" s="4" t="s">
        <v>7</v>
      </c>
      <c r="D61" s="5">
        <v>300</v>
      </c>
      <c r="E61" s="6">
        <v>13</v>
      </c>
      <c r="G61" s="5"/>
      <c r="H61">
        <f>0.4*H60</f>
        <v>2320</v>
      </c>
      <c r="I61">
        <f>0.4*I60+K59</f>
        <v>3520</v>
      </c>
    </row>
    <row r="62" spans="1:12" ht="16.5" x14ac:dyDescent="0.25">
      <c r="A62" s="1" t="s">
        <v>21</v>
      </c>
      <c r="B62" s="1" t="s">
        <v>73</v>
      </c>
      <c r="C62" s="1" t="s">
        <v>44</v>
      </c>
      <c r="D62" s="2">
        <v>500</v>
      </c>
      <c r="E62" s="3">
        <v>13</v>
      </c>
      <c r="G62" s="2"/>
    </row>
    <row r="63" spans="1:12" x14ac:dyDescent="0.25">
      <c r="A63" s="4" t="s">
        <v>10</v>
      </c>
      <c r="B63" s="4" t="s">
        <v>74</v>
      </c>
      <c r="C63" s="4" t="s">
        <v>7</v>
      </c>
      <c r="D63" s="5">
        <v>700</v>
      </c>
      <c r="E63" s="6">
        <v>12</v>
      </c>
      <c r="G63" s="5"/>
    </row>
    <row r="64" spans="1:12" ht="15.75" thickBot="1" x14ac:dyDescent="0.3">
      <c r="A64" s="11" t="s">
        <v>10</v>
      </c>
      <c r="B64" s="11" t="s">
        <v>75</v>
      </c>
      <c r="C64" s="11" t="s">
        <v>7</v>
      </c>
      <c r="D64" s="12">
        <v>700</v>
      </c>
      <c r="E64" s="13">
        <v>12</v>
      </c>
      <c r="G64" s="5"/>
      <c r="H64" t="s">
        <v>86</v>
      </c>
      <c r="I64">
        <v>10373</v>
      </c>
      <c r="J64">
        <f>I64-H61</f>
        <v>8053</v>
      </c>
      <c r="K64">
        <f>I64-I61</f>
        <v>6853</v>
      </c>
    </row>
    <row r="65" spans="3:11" ht="15.75" thickBot="1" x14ac:dyDescent="0.3">
      <c r="C65" s="4"/>
      <c r="D65" s="5"/>
      <c r="G65" s="12"/>
      <c r="H65" t="s">
        <v>85</v>
      </c>
      <c r="I65">
        <v>11727</v>
      </c>
      <c r="J65">
        <f>I65-H61</f>
        <v>9407</v>
      </c>
      <c r="K65">
        <f>I65-I61</f>
        <v>8207</v>
      </c>
    </row>
    <row r="66" spans="3:11" x14ac:dyDescent="0.25">
      <c r="C66" s="1"/>
    </row>
    <row r="72" spans="3:11" x14ac:dyDescent="0.25">
      <c r="G72" t="s">
        <v>87</v>
      </c>
    </row>
    <row r="83" spans="1:2" x14ac:dyDescent="0.25">
      <c r="A83" s="4">
        <v>12</v>
      </c>
      <c r="B83" s="4">
        <v>45</v>
      </c>
    </row>
    <row r="84" spans="1:2" x14ac:dyDescent="0.25">
      <c r="A84" s="1">
        <v>11</v>
      </c>
      <c r="B84" s="1">
        <v>47</v>
      </c>
    </row>
    <row r="85" spans="1:2" x14ac:dyDescent="0.25">
      <c r="A85" s="4">
        <v>10</v>
      </c>
      <c r="B85" s="4">
        <v>41</v>
      </c>
    </row>
    <row r="86" spans="1:2" x14ac:dyDescent="0.25">
      <c r="A86" s="1">
        <v>9</v>
      </c>
      <c r="B86" s="1">
        <v>39</v>
      </c>
    </row>
    <row r="87" spans="1:2" x14ac:dyDescent="0.25">
      <c r="A87" s="4">
        <v>8</v>
      </c>
      <c r="B87" s="4">
        <v>51</v>
      </c>
    </row>
    <row r="88" spans="1:2" x14ac:dyDescent="0.25">
      <c r="A88" s="1">
        <v>7</v>
      </c>
      <c r="B88" s="1">
        <v>50</v>
      </c>
    </row>
    <row r="89" spans="1:2" x14ac:dyDescent="0.25">
      <c r="A89" s="4">
        <v>6</v>
      </c>
      <c r="B89" s="4">
        <v>46</v>
      </c>
    </row>
    <row r="90" spans="1:2" x14ac:dyDescent="0.25">
      <c r="A90" s="1">
        <v>5</v>
      </c>
      <c r="B90" s="1">
        <v>32</v>
      </c>
    </row>
    <row r="91" spans="1:2" x14ac:dyDescent="0.25">
      <c r="A91" s="4">
        <v>4</v>
      </c>
      <c r="B91" s="4">
        <v>15</v>
      </c>
    </row>
    <row r="92" spans="1:2" x14ac:dyDescent="0.25">
      <c r="A92" s="1">
        <v>3</v>
      </c>
      <c r="B92" s="1">
        <v>43</v>
      </c>
    </row>
    <row r="93" spans="1:2" x14ac:dyDescent="0.25">
      <c r="A93" s="4">
        <v>2</v>
      </c>
      <c r="B93" s="4">
        <v>25</v>
      </c>
    </row>
    <row r="94" spans="1:2" x14ac:dyDescent="0.25">
      <c r="A94" s="1">
        <v>1</v>
      </c>
      <c r="B94" s="1">
        <v>23</v>
      </c>
    </row>
    <row r="95" spans="1:2" x14ac:dyDescent="0.25">
      <c r="A95" s="4">
        <v>0</v>
      </c>
      <c r="B95" s="4">
        <v>83</v>
      </c>
    </row>
    <row r="96" spans="1:2" x14ac:dyDescent="0.25">
      <c r="A96" s="1">
        <v>-1</v>
      </c>
      <c r="B96" s="1">
        <v>65</v>
      </c>
    </row>
    <row r="97" spans="1:2" x14ac:dyDescent="0.25">
      <c r="A97" s="4">
        <v>-2</v>
      </c>
      <c r="B97" s="4">
        <v>84</v>
      </c>
    </row>
    <row r="98" spans="1:2" x14ac:dyDescent="0.25">
      <c r="A98" s="1">
        <v>-3</v>
      </c>
      <c r="B98" s="1">
        <v>27</v>
      </c>
    </row>
    <row r="99" spans="1:2" x14ac:dyDescent="0.25">
      <c r="A99" s="4">
        <v>-4</v>
      </c>
      <c r="B99" s="4">
        <v>64</v>
      </c>
    </row>
    <row r="100" spans="1:2" ht="15.75" thickBot="1" x14ac:dyDescent="0.3">
      <c r="A100" s="11">
        <v>-5</v>
      </c>
      <c r="B100" s="11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A.Q. Zhang</dc:creator>
  <cp:lastModifiedBy>A.Q. Zhang</cp:lastModifiedBy>
  <dcterms:created xsi:type="dcterms:W3CDTF">2026-01-26T15:15:10Z</dcterms:created>
  <dcterms:modified xsi:type="dcterms:W3CDTF">2026-02-16T19:33:33Z</dcterms:modified>
</cp:coreProperties>
</file>